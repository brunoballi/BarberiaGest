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_CLAUDE\sistema_gestion_barberias\"/>
    </mc:Choice>
  </mc:AlternateContent>
  <xr:revisionPtr revIDLastSave="0" documentId="8_{32AF5A29-D236-40ED-A554-D85667FC45B8}" xr6:coauthVersionLast="47" xr6:coauthVersionMax="47" xr10:uidLastSave="{00000000-0000-0000-0000-000000000000}"/>
  <bookViews>
    <workbookView xWindow="-120" yWindow="-120" windowWidth="20730" windowHeight="11040" xr2:uid="{C303416A-1928-4C27-B577-C5EAB350CA5C}"/>
  </bookViews>
  <sheets>
    <sheet name="LAUREANO " sheetId="3" r:id="rId1"/>
    <sheet name="FRANCO" sheetId="9" r:id="rId2"/>
    <sheet name="BEIZEN" sheetId="11" r:id="rId3"/>
    <sheet name="FABRICIO" sheetId="12" r:id="rId4"/>
    <sheet name="GERONIMO " sheetId="6" r:id="rId5"/>
    <sheet name="BRUNO" sheetId="4" r:id="rId6"/>
    <sheet name="GASTOS" sheetId="7" r:id="rId7"/>
    <sheet name="INGRESOS" sheetId="5" r:id="rId8"/>
    <sheet name="SALDOS REALES" sheetId="8" r:id="rId9"/>
    <sheet name="Datos " sheetId="13" r:id="rId10"/>
  </sheets>
  <definedNames>
    <definedName name="_xlnm._FilterDatabase" localSheetId="5" hidden="1">BRUNO!$A$10:$F$16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6" l="1"/>
  <c r="S5" i="6" s="1"/>
  <c r="N5" i="6"/>
  <c r="E37" i="6"/>
  <c r="E36" i="6"/>
  <c r="E35" i="6"/>
  <c r="D37" i="6"/>
  <c r="D36" i="6"/>
  <c r="D35" i="6"/>
  <c r="E31" i="4"/>
  <c r="E30" i="4"/>
  <c r="E29" i="4"/>
  <c r="E28" i="4"/>
  <c r="E27" i="4"/>
  <c r="E31" i="6"/>
  <c r="E30" i="6"/>
  <c r="E29" i="6"/>
  <c r="E28" i="6"/>
  <c r="E27" i="6"/>
  <c r="E23" i="4"/>
  <c r="D23" i="4"/>
  <c r="E7" i="4"/>
  <c r="E5" i="4"/>
  <c r="E4" i="4"/>
  <c r="E22" i="4"/>
  <c r="E21" i="4"/>
  <c r="E20" i="4"/>
  <c r="D20" i="4"/>
  <c r="E19" i="4"/>
  <c r="E23" i="6"/>
  <c r="E22" i="6"/>
  <c r="E19" i="6"/>
  <c r="E20" i="6"/>
  <c r="E21" i="6"/>
  <c r="E24" i="6"/>
  <c r="E15" i="4"/>
  <c r="E14" i="4"/>
  <c r="D14" i="4"/>
  <c r="E13" i="4"/>
  <c r="E12" i="4"/>
  <c r="E11" i="4"/>
  <c r="E6" i="4"/>
  <c r="E3" i="4"/>
  <c r="D3" i="4"/>
  <c r="E7" i="6"/>
  <c r="D7" i="6"/>
  <c r="E5" i="6"/>
  <c r="D5" i="6"/>
  <c r="E6" i="6"/>
  <c r="E4" i="6"/>
  <c r="D4" i="6"/>
  <c r="E3" i="6"/>
  <c r="E8" i="6"/>
  <c r="C16" i="6"/>
  <c r="M4" i="6"/>
  <c r="C24" i="6"/>
  <c r="M5" i="6"/>
  <c r="C32" i="6"/>
  <c r="M6" i="6"/>
  <c r="P6" i="6"/>
  <c r="D28" i="12"/>
  <c r="E28" i="12"/>
  <c r="D30" i="6"/>
  <c r="D29" i="6"/>
  <c r="D28" i="6"/>
  <c r="E32" i="6"/>
  <c r="D27" i="6"/>
  <c r="D31" i="6"/>
  <c r="D19" i="6"/>
  <c r="D23" i="6"/>
  <c r="D22" i="6"/>
  <c r="D20" i="6"/>
  <c r="D21" i="6"/>
  <c r="D24" i="6"/>
  <c r="E11" i="6"/>
  <c r="D11" i="6"/>
  <c r="E12" i="6"/>
  <c r="D12" i="6"/>
  <c r="E13" i="6"/>
  <c r="D13" i="6"/>
  <c r="E14" i="6"/>
  <c r="D14" i="6"/>
  <c r="E15" i="6"/>
  <c r="D15" i="6"/>
  <c r="D16" i="6"/>
  <c r="D6" i="6"/>
  <c r="D22" i="4"/>
  <c r="D21" i="4"/>
  <c r="E32" i="4"/>
  <c r="D27" i="4"/>
  <c r="D28" i="4"/>
  <c r="D29" i="4"/>
  <c r="D30" i="4"/>
  <c r="D31" i="4"/>
  <c r="D20" i="3"/>
  <c r="D19" i="3"/>
  <c r="E19" i="3"/>
  <c r="D21" i="3"/>
  <c r="E21" i="3"/>
  <c r="D22" i="3"/>
  <c r="D23" i="3"/>
  <c r="D27" i="3"/>
  <c r="D28" i="3"/>
  <c r="E28" i="3"/>
  <c r="D29" i="3"/>
  <c r="E29" i="3"/>
  <c r="E27" i="3"/>
  <c r="D30" i="3"/>
  <c r="E30" i="3"/>
  <c r="D31" i="3"/>
  <c r="E31" i="3"/>
  <c r="E32" i="3"/>
  <c r="D20" i="12"/>
  <c r="D21" i="12"/>
  <c r="D22" i="12"/>
  <c r="D23" i="12"/>
  <c r="E23" i="12"/>
  <c r="D19" i="12"/>
  <c r="D24" i="12"/>
  <c r="D27" i="12"/>
  <c r="E27" i="12"/>
  <c r="D29" i="12"/>
  <c r="E29" i="12"/>
  <c r="D30" i="12"/>
  <c r="E30" i="12"/>
  <c r="D31" i="12"/>
  <c r="E31" i="12"/>
  <c r="D12" i="4"/>
  <c r="D13" i="11"/>
  <c r="E13" i="11"/>
  <c r="E20" i="12"/>
  <c r="E21" i="12"/>
  <c r="E22" i="12"/>
  <c r="D11" i="12"/>
  <c r="E11" i="12"/>
  <c r="D12" i="12"/>
  <c r="E12" i="12"/>
  <c r="D13" i="12"/>
  <c r="E13" i="12"/>
  <c r="D14" i="12"/>
  <c r="E14" i="12"/>
  <c r="D15" i="12"/>
  <c r="E15" i="12"/>
  <c r="E22" i="3"/>
  <c r="E23" i="3"/>
  <c r="D12" i="3"/>
  <c r="E12" i="3"/>
  <c r="D7" i="3"/>
  <c r="E7" i="3"/>
  <c r="B40" i="12"/>
  <c r="B8" i="12"/>
  <c r="B16" i="12"/>
  <c r="B24" i="12"/>
  <c r="B32" i="12"/>
  <c r="B24" i="9"/>
  <c r="B8" i="9"/>
  <c r="B16" i="9"/>
  <c r="B32" i="9"/>
  <c r="B40" i="9"/>
  <c r="E36" i="4"/>
  <c r="D36" i="4"/>
  <c r="D11" i="11"/>
  <c r="D12" i="11"/>
  <c r="D14" i="11"/>
  <c r="D15" i="11"/>
  <c r="D16" i="11"/>
  <c r="E15" i="11"/>
  <c r="E12" i="11"/>
  <c r="E14" i="11"/>
  <c r="D7" i="12"/>
  <c r="E7" i="12"/>
  <c r="D31" i="11"/>
  <c r="E31" i="11"/>
  <c r="D37" i="11"/>
  <c r="E37" i="11"/>
  <c r="D36" i="11"/>
  <c r="E36" i="11"/>
  <c r="D35" i="11"/>
  <c r="E35" i="11"/>
  <c r="E40" i="11"/>
  <c r="D38" i="11"/>
  <c r="E38" i="11"/>
  <c r="D39" i="11"/>
  <c r="E39" i="11"/>
  <c r="D23" i="11"/>
  <c r="E23" i="11"/>
  <c r="D6" i="11"/>
  <c r="E6" i="11"/>
  <c r="C24" i="9"/>
  <c r="B40" i="4"/>
  <c r="L7" i="4"/>
  <c r="D7" i="4"/>
  <c r="D6" i="4"/>
  <c r="D5" i="4"/>
  <c r="D4" i="4"/>
  <c r="D7" i="11"/>
  <c r="E7" i="11"/>
  <c r="D3" i="11"/>
  <c r="D4" i="11"/>
  <c r="D8" i="11"/>
  <c r="E3" i="11"/>
  <c r="E4" i="11"/>
  <c r="D5" i="11"/>
  <c r="E5" i="11"/>
  <c r="D35" i="3"/>
  <c r="E35" i="3"/>
  <c r="D36" i="3"/>
  <c r="E36" i="3"/>
  <c r="D37" i="3"/>
  <c r="E37" i="3"/>
  <c r="E40" i="3"/>
  <c r="D38" i="3"/>
  <c r="E38" i="3"/>
  <c r="D39" i="3"/>
  <c r="E39" i="3"/>
  <c r="D11" i="3"/>
  <c r="D13" i="3"/>
  <c r="D14" i="3"/>
  <c r="D15" i="3"/>
  <c r="D16" i="3"/>
  <c r="E11" i="3"/>
  <c r="E13" i="3"/>
  <c r="E14" i="3"/>
  <c r="E15" i="3"/>
  <c r="E39" i="4"/>
  <c r="D39" i="4"/>
  <c r="E38" i="4"/>
  <c r="D38" i="4"/>
  <c r="E37" i="4"/>
  <c r="D37" i="4"/>
  <c r="E35" i="4"/>
  <c r="D35" i="4"/>
  <c r="D40" i="4"/>
  <c r="E40" i="4"/>
  <c r="D15" i="4"/>
  <c r="D13" i="4"/>
  <c r="D11" i="4"/>
  <c r="D19" i="4"/>
  <c r="D24" i="4"/>
  <c r="B8" i="4"/>
  <c r="L3" i="4"/>
  <c r="C8" i="4"/>
  <c r="M3" i="4"/>
  <c r="N3" i="4"/>
  <c r="B16" i="4"/>
  <c r="L4" i="4"/>
  <c r="C16" i="4"/>
  <c r="M4" i="4"/>
  <c r="C24" i="4"/>
  <c r="M5" i="4"/>
  <c r="C32" i="4"/>
  <c r="B24" i="4"/>
  <c r="L5" i="4"/>
  <c r="B32" i="4"/>
  <c r="L6" i="4"/>
  <c r="M6" i="4"/>
  <c r="R6" i="4"/>
  <c r="P6" i="4"/>
  <c r="N6" i="4"/>
  <c r="S6" i="4"/>
  <c r="C40" i="4"/>
  <c r="M7" i="4"/>
  <c r="R7" i="4"/>
  <c r="P7" i="4"/>
  <c r="N7" i="4"/>
  <c r="S7" i="4"/>
  <c r="O8" i="4"/>
  <c r="Q8" i="4"/>
  <c r="B8" i="6"/>
  <c r="C8" i="6"/>
  <c r="M3" i="6"/>
  <c r="B16" i="6"/>
  <c r="L4" i="6"/>
  <c r="C40" i="6"/>
  <c r="H2" i="6" s="1"/>
  <c r="B1" i="5" s="1"/>
  <c r="M7" i="6"/>
  <c r="N7" i="6" s="1"/>
  <c r="N8" i="6" s="1"/>
  <c r="B32" i="6"/>
  <c r="L6" i="6"/>
  <c r="B40" i="6"/>
  <c r="H6" i="6" s="1"/>
  <c r="O8" i="6"/>
  <c r="Q8" i="6"/>
  <c r="D21" i="11"/>
  <c r="E21" i="11"/>
  <c r="D35" i="12"/>
  <c r="E35" i="12"/>
  <c r="D36" i="12"/>
  <c r="E36" i="12"/>
  <c r="D37" i="12"/>
  <c r="E37" i="12"/>
  <c r="D38" i="12"/>
  <c r="E38" i="12"/>
  <c r="D39" i="12"/>
  <c r="E39" i="12"/>
  <c r="E40" i="12"/>
  <c r="D40" i="12"/>
  <c r="B24" i="6"/>
  <c r="L5" i="6"/>
  <c r="D28" i="11"/>
  <c r="E28" i="11"/>
  <c r="D27" i="11"/>
  <c r="E27" i="11"/>
  <c r="D29" i="11"/>
  <c r="E29" i="11"/>
  <c r="D30" i="11"/>
  <c r="E30" i="11"/>
  <c r="E32" i="11"/>
  <c r="D40" i="11"/>
  <c r="E3" i="7"/>
  <c r="B4" i="8"/>
  <c r="C24" i="12"/>
  <c r="C32" i="12"/>
  <c r="C40" i="12"/>
  <c r="C32" i="3"/>
  <c r="C40" i="3"/>
  <c r="C8" i="3"/>
  <c r="C16" i="3"/>
  <c r="C24" i="3"/>
  <c r="C32" i="11"/>
  <c r="C40" i="11"/>
  <c r="F40" i="12"/>
  <c r="F32" i="12"/>
  <c r="F24" i="12"/>
  <c r="F16" i="12"/>
  <c r="C16" i="12"/>
  <c r="F8" i="12"/>
  <c r="C8" i="12"/>
  <c r="D3" i="12"/>
  <c r="D4" i="12"/>
  <c r="D8" i="12"/>
  <c r="E3" i="12"/>
  <c r="E4" i="12"/>
  <c r="D20" i="11"/>
  <c r="E20" i="11"/>
  <c r="D19" i="11"/>
  <c r="D22" i="11"/>
  <c r="D24" i="11"/>
  <c r="D5" i="3"/>
  <c r="D3" i="3"/>
  <c r="D4" i="3"/>
  <c r="E4" i="3"/>
  <c r="D6" i="3"/>
  <c r="E6" i="3"/>
  <c r="E5" i="3"/>
  <c r="E3" i="3"/>
  <c r="D38" i="6"/>
  <c r="E38" i="6"/>
  <c r="D39" i="6"/>
  <c r="E39" i="6"/>
  <c r="F16" i="3"/>
  <c r="F24" i="3"/>
  <c r="F32" i="3"/>
  <c r="F40" i="3"/>
  <c r="E22" i="11"/>
  <c r="C24" i="11"/>
  <c r="C8" i="11"/>
  <c r="C16" i="11"/>
  <c r="B40" i="11"/>
  <c r="F40" i="11"/>
  <c r="B32" i="11"/>
  <c r="F32" i="11"/>
  <c r="B24" i="11"/>
  <c r="F24" i="11"/>
  <c r="B16" i="11"/>
  <c r="F16" i="11"/>
  <c r="B8" i="11"/>
  <c r="F8" i="11"/>
  <c r="B40" i="3"/>
  <c r="B8" i="3"/>
  <c r="B16" i="3"/>
  <c r="B24" i="3"/>
  <c r="B32" i="3"/>
  <c r="D31" i="9"/>
  <c r="E31" i="9"/>
  <c r="D30" i="9"/>
  <c r="E30" i="9"/>
  <c r="D29" i="9"/>
  <c r="E29" i="9"/>
  <c r="D28" i="9"/>
  <c r="D27" i="9"/>
  <c r="E27" i="9"/>
  <c r="E28" i="9"/>
  <c r="E32" i="9"/>
  <c r="D38" i="9"/>
  <c r="E38" i="9"/>
  <c r="D37" i="9"/>
  <c r="E37" i="9"/>
  <c r="D36" i="9"/>
  <c r="E36" i="9"/>
  <c r="D35" i="9"/>
  <c r="E35" i="9"/>
  <c r="E40" i="9"/>
  <c r="D39" i="9"/>
  <c r="E39" i="9"/>
  <c r="D7" i="9"/>
  <c r="E7" i="9"/>
  <c r="D3" i="9"/>
  <c r="E3" i="9"/>
  <c r="D4" i="9"/>
  <c r="D5" i="9"/>
  <c r="D6" i="9"/>
  <c r="D8" i="9"/>
  <c r="E5" i="9"/>
  <c r="E6" i="9"/>
  <c r="D20" i="9"/>
  <c r="D19" i="9"/>
  <c r="D21" i="9"/>
  <c r="D22" i="9"/>
  <c r="D23" i="9"/>
  <c r="D24" i="9"/>
  <c r="E23" i="9"/>
  <c r="E21" i="9"/>
  <c r="E22" i="9"/>
  <c r="D11" i="9"/>
  <c r="D12" i="9"/>
  <c r="D13" i="9"/>
  <c r="D14" i="9"/>
  <c r="D15" i="9"/>
  <c r="D16" i="9"/>
  <c r="E12" i="9"/>
  <c r="E13" i="9"/>
  <c r="E14" i="9"/>
  <c r="E15" i="9"/>
  <c r="C40" i="9"/>
  <c r="C8" i="9"/>
  <c r="C16" i="9"/>
  <c r="C32" i="9"/>
  <c r="H2" i="9"/>
  <c r="F40" i="4"/>
  <c r="F32" i="4"/>
  <c r="F24" i="4"/>
  <c r="F16" i="4"/>
  <c r="F8" i="4"/>
  <c r="F8" i="3"/>
  <c r="D52" i="7"/>
  <c r="P3" i="4"/>
  <c r="R3" i="4"/>
  <c r="L3" i="6"/>
  <c r="N6" i="6"/>
  <c r="R6" i="6"/>
  <c r="E16" i="6"/>
  <c r="D32" i="4"/>
  <c r="E16" i="4"/>
  <c r="I6" i="4"/>
  <c r="I6" i="11"/>
  <c r="D16" i="12"/>
  <c r="E20" i="3"/>
  <c r="E16" i="3"/>
  <c r="E19" i="9"/>
  <c r="D8" i="3"/>
  <c r="E8" i="3"/>
  <c r="E24" i="3"/>
  <c r="I4" i="3"/>
  <c r="B6" i="5"/>
  <c r="S6" i="6"/>
  <c r="R7" i="6"/>
  <c r="R8" i="6" s="1"/>
  <c r="D32" i="6"/>
  <c r="R5" i="6"/>
  <c r="R4" i="6"/>
  <c r="P4" i="6"/>
  <c r="N4" i="6"/>
  <c r="S4" i="6"/>
  <c r="R3" i="6"/>
  <c r="N3" i="6"/>
  <c r="P3" i="6"/>
  <c r="D3" i="6"/>
  <c r="D8" i="6"/>
  <c r="R5" i="4"/>
  <c r="P5" i="4"/>
  <c r="N5" i="4"/>
  <c r="E24" i="4"/>
  <c r="N4" i="4"/>
  <c r="R4" i="4"/>
  <c r="P4" i="4"/>
  <c r="M8" i="4"/>
  <c r="D16" i="4"/>
  <c r="L8" i="4"/>
  <c r="S3" i="4"/>
  <c r="I2" i="4"/>
  <c r="D32" i="11"/>
  <c r="I3" i="11"/>
  <c r="E19" i="11"/>
  <c r="E24" i="11"/>
  <c r="I2" i="11"/>
  <c r="E11" i="11"/>
  <c r="E16" i="11"/>
  <c r="E8" i="11"/>
  <c r="I4" i="11"/>
  <c r="B7" i="5"/>
  <c r="E32" i="12"/>
  <c r="D32" i="12"/>
  <c r="E19" i="12"/>
  <c r="E24" i="12"/>
  <c r="I2" i="12"/>
  <c r="E16" i="12"/>
  <c r="I6" i="12"/>
  <c r="I3" i="12"/>
  <c r="E8" i="12"/>
  <c r="I6" i="3"/>
  <c r="D32" i="3"/>
  <c r="I2" i="3"/>
  <c r="D40" i="3"/>
  <c r="D24" i="3"/>
  <c r="I3" i="3"/>
  <c r="D40" i="9"/>
  <c r="D32" i="9"/>
  <c r="E20" i="9"/>
  <c r="E24" i="9"/>
  <c r="H6" i="9"/>
  <c r="E11" i="9"/>
  <c r="E16" i="9"/>
  <c r="H4" i="9"/>
  <c r="B8" i="5"/>
  <c r="E4" i="9"/>
  <c r="E8" i="9"/>
  <c r="S3" i="6"/>
  <c r="S4" i="4"/>
  <c r="P8" i="4"/>
  <c r="R8" i="4"/>
  <c r="S5" i="4"/>
  <c r="S8" i="4"/>
  <c r="N8" i="4"/>
  <c r="E8" i="4"/>
  <c r="I4" i="12"/>
  <c r="B9" i="5"/>
  <c r="I4" i="4"/>
  <c r="B5" i="5"/>
  <c r="D8" i="4"/>
  <c r="I3" i="4"/>
  <c r="L7" i="6" l="1"/>
  <c r="L8" i="6" s="1"/>
  <c r="D40" i="6"/>
  <c r="H3" i="6" s="1"/>
  <c r="B3" i="5" s="1"/>
  <c r="B3" i="8" s="1"/>
  <c r="B5" i="8" s="1"/>
  <c r="P7" i="6"/>
  <c r="P8" i="6" s="1"/>
  <c r="M8" i="6"/>
  <c r="E40" i="6"/>
  <c r="H4" i="6" s="1"/>
  <c r="B4" i="5" s="1"/>
  <c r="S7" i="6"/>
  <c r="S8" i="6" s="1"/>
  <c r="B11" i="5" l="1"/>
  <c r="H6" i="5"/>
  <c r="H7" i="5"/>
  <c r="H5" i="5"/>
  <c r="I8" i="5" l="1"/>
</calcChain>
</file>

<file path=xl/sharedStrings.xml><?xml version="1.0" encoding="utf-8"?>
<sst xmlns="http://schemas.openxmlformats.org/spreadsheetml/2006/main" count="245" uniqueCount="109">
  <si>
    <t>Total Facturado</t>
  </si>
  <si>
    <t>SEMANA 1</t>
  </si>
  <si>
    <t>SEMANA 2</t>
  </si>
  <si>
    <t>SEMANA 4</t>
  </si>
  <si>
    <t>SEMANA 5</t>
  </si>
  <si>
    <t>Total</t>
  </si>
  <si>
    <t>JESUS</t>
  </si>
  <si>
    <t>TOTAL GENERADO</t>
  </si>
  <si>
    <t>TOTAL</t>
  </si>
  <si>
    <t>SEMANA 3</t>
  </si>
  <si>
    <t>VALHALLA</t>
  </si>
  <si>
    <t>Total VALHALLA</t>
  </si>
  <si>
    <t>DIVISION ENTRE SOCIOS</t>
  </si>
  <si>
    <t>GASPAR</t>
  </si>
  <si>
    <t>EZEQUIEL</t>
  </si>
  <si>
    <t>NOMBRE</t>
  </si>
  <si>
    <t>PORCENTAJE</t>
  </si>
  <si>
    <t>MONTO</t>
  </si>
  <si>
    <t>Concepto</t>
  </si>
  <si>
    <t>Fecha</t>
  </si>
  <si>
    <t>Efectivo</t>
  </si>
  <si>
    <t>PLANILLA DE GASTOS MENSUALES</t>
  </si>
  <si>
    <t>SALDO ANTERIOR</t>
  </si>
  <si>
    <t>SALDO ACTUAL</t>
  </si>
  <si>
    <t>INGRESOS</t>
  </si>
  <si>
    <t>GASTOS</t>
  </si>
  <si>
    <t>LAUTARO</t>
  </si>
  <si>
    <t>TRANSF.</t>
  </si>
  <si>
    <t>LAUREANO</t>
  </si>
  <si>
    <t>Cant.</t>
  </si>
  <si>
    <t>FRANCO</t>
  </si>
  <si>
    <t>Total CORTES</t>
  </si>
  <si>
    <t>BEIZEN</t>
  </si>
  <si>
    <t>Total BEIZEN</t>
  </si>
  <si>
    <t xml:space="preserve"> </t>
  </si>
  <si>
    <t>Total Fabricio</t>
  </si>
  <si>
    <t>FABRICIO</t>
  </si>
  <si>
    <t>FECHA</t>
  </si>
  <si>
    <t xml:space="preserve">Nombre y Apellido </t>
  </si>
  <si>
    <t xml:space="preserve">Dni </t>
  </si>
  <si>
    <t xml:space="preserve">Fecha de Nacimiento </t>
  </si>
  <si>
    <t>Franco Inspide</t>
  </si>
  <si>
    <t>Fabricio Tirabassi</t>
  </si>
  <si>
    <t xml:space="preserve">Agustin Bazan </t>
  </si>
  <si>
    <t xml:space="preserve">Laureano Joel Medina </t>
  </si>
  <si>
    <t>Monotributos JESUS</t>
  </si>
  <si>
    <t xml:space="preserve">Nube JESUS </t>
  </si>
  <si>
    <t xml:space="preserve">Sistema JESUS </t>
  </si>
  <si>
    <t>Exel Microsoft JESUS</t>
  </si>
  <si>
    <t>Alquiler SESE</t>
  </si>
  <si>
    <t>Objetivo</t>
  </si>
  <si>
    <t>DIAS</t>
  </si>
  <si>
    <t>Presentismo</t>
  </si>
  <si>
    <t>Semana 1</t>
  </si>
  <si>
    <t>Semana 2</t>
  </si>
  <si>
    <t>Semana 3</t>
  </si>
  <si>
    <t>Semana 4</t>
  </si>
  <si>
    <t>Semana 5</t>
  </si>
  <si>
    <t>Básico</t>
  </si>
  <si>
    <t>Stella Gaspar</t>
  </si>
  <si>
    <t>Dispenser Jesus</t>
  </si>
  <si>
    <t>Contadora Jesus</t>
  </si>
  <si>
    <t>CM Guille Jesus</t>
  </si>
  <si>
    <t xml:space="preserve">VEP LAUREANO </t>
  </si>
  <si>
    <t xml:space="preserve">Barberium Gaspar </t>
  </si>
  <si>
    <t xml:space="preserve">Juani Troncoso </t>
  </si>
  <si>
    <t>Cuota SINDICAL SESE</t>
  </si>
  <si>
    <t xml:space="preserve">GERONIMO </t>
  </si>
  <si>
    <t xml:space="preserve">Total GERONIMO </t>
  </si>
  <si>
    <t>GERONIMO</t>
  </si>
  <si>
    <t xml:space="preserve">Total FRANCO  </t>
  </si>
  <si>
    <t>Total LAUREANO</t>
  </si>
  <si>
    <t>Internet Claro SESE</t>
  </si>
  <si>
    <t xml:space="preserve">Hidraulico 2/3 GASPAR </t>
  </si>
  <si>
    <t>Ferreteria GASPAR</t>
  </si>
  <si>
    <t>Chinos GASPAR</t>
  </si>
  <si>
    <t>Laverrap</t>
  </si>
  <si>
    <t>Saphirus GASPAR</t>
  </si>
  <si>
    <t>Bolsas GASPAR</t>
  </si>
  <si>
    <t>Ministerio 19 SESE</t>
  </si>
  <si>
    <t>Ministerio vol.2 cuota 6 SESE</t>
  </si>
  <si>
    <t>Epe</t>
  </si>
  <si>
    <t>Laverrap JESUS</t>
  </si>
  <si>
    <t>Seguro Cuota 1</t>
  </si>
  <si>
    <t>Aro De Luz Gero 2/9 JESUS</t>
  </si>
  <si>
    <t xml:space="preserve">Retiro GASPAR </t>
  </si>
  <si>
    <t>Retiro JESUS</t>
  </si>
  <si>
    <t>Retiro SESE</t>
  </si>
  <si>
    <t xml:space="preserve">Deudas </t>
  </si>
  <si>
    <t xml:space="preserve">* Lauro </t>
  </si>
  <si>
    <t>Remeras 2</t>
  </si>
  <si>
    <t>Si</t>
  </si>
  <si>
    <t>Adicianal básico Gero</t>
  </si>
  <si>
    <t>BRUNO</t>
  </si>
  <si>
    <t xml:space="preserve">Adicional básico bruno </t>
  </si>
  <si>
    <t>Adicional básico Gero</t>
  </si>
  <si>
    <t>Tarjetas Jesús</t>
  </si>
  <si>
    <t>Adicional básico Cuchu</t>
  </si>
  <si>
    <t>Limonada reunión</t>
  </si>
  <si>
    <t>Corte regalo amigo sese</t>
  </si>
  <si>
    <t xml:space="preserve">Lauro adicional básico martes </t>
  </si>
  <si>
    <t>No</t>
  </si>
  <si>
    <t xml:space="preserve">Adicional básico Gero </t>
  </si>
  <si>
    <t xml:space="preserve">Cambio Beiz </t>
  </si>
  <si>
    <t>Regalo Lauro fernet</t>
  </si>
  <si>
    <t>Regalo corte sese</t>
  </si>
  <si>
    <t>Total BRUNO</t>
  </si>
  <si>
    <t>Total Bruno</t>
  </si>
  <si>
    <t xml:space="preserve">Total Geronimo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</si>
</sst>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\ #,##0.00_);[Red]\(&quot;$&quot;\ #,##0.00\)"/>
    <numFmt numFmtId="165" formatCode="_(* #,##0.00_);_(* \(#,##0.00\);_(* &quot;-&quot;??_);_(@_)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165" fontId="0" fillId="0" borderId="1" xfId="0" applyNumberFormat="1" applyBorder="1"/>
    <xf numFmtId="165" fontId="1" fillId="3" borderId="1" xfId="0" applyNumberFormat="1" applyFont="1" applyFill="1" applyBorder="1"/>
    <xf numFmtId="165" fontId="0" fillId="0" borderId="1" xfId="0" applyNumberFormat="1" applyBorder="1" applyAlignment="1">
      <alignment horizontal="right"/>
    </xf>
    <xf numFmtId="165" fontId="0" fillId="0" borderId="0" xfId="0" applyNumberFormat="1"/>
    <xf numFmtId="16" fontId="1" fillId="2" borderId="2" xfId="0" applyNumberFormat="1" applyFont="1" applyFill="1" applyBorder="1"/>
    <xf numFmtId="43" fontId="0" fillId="0" borderId="0" xfId="0" applyNumberFormat="1"/>
    <xf numFmtId="0" fontId="1" fillId="0" borderId="1" xfId="0" applyFont="1" applyBorder="1" applyAlignment="1">
      <alignment horizontal="center"/>
    </xf>
    <xf numFmtId="0" fontId="0" fillId="4" borderId="1" xfId="0" applyFill="1" applyBorder="1"/>
    <xf numFmtId="9" fontId="0" fillId="4" borderId="1" xfId="0" applyNumberFormat="1" applyFill="1" applyBorder="1"/>
    <xf numFmtId="0" fontId="0" fillId="5" borderId="1" xfId="0" applyFill="1" applyBorder="1"/>
    <xf numFmtId="9" fontId="0" fillId="5" borderId="1" xfId="0" applyNumberFormat="1" applyFill="1" applyBorder="1"/>
    <xf numFmtId="43" fontId="0" fillId="5" borderId="1" xfId="1" applyFont="1" applyFill="1" applyBorder="1"/>
    <xf numFmtId="0" fontId="0" fillId="6" borderId="1" xfId="0" applyFill="1" applyBorder="1"/>
    <xf numFmtId="9" fontId="0" fillId="6" borderId="1" xfId="0" applyNumberFormat="1" applyFill="1" applyBorder="1"/>
    <xf numFmtId="0" fontId="1" fillId="7" borderId="1" xfId="0" applyFont="1" applyFill="1" applyBorder="1"/>
    <xf numFmtId="43" fontId="1" fillId="7" borderId="1" xfId="0" applyNumberFormat="1" applyFont="1" applyFill="1" applyBorder="1"/>
    <xf numFmtId="43" fontId="0" fillId="0" borderId="1" xfId="1" applyFont="1" applyBorder="1"/>
    <xf numFmtId="43" fontId="0" fillId="9" borderId="1" xfId="1" applyFont="1" applyFill="1" applyBorder="1"/>
    <xf numFmtId="0" fontId="1" fillId="0" borderId="0" xfId="0" applyFont="1" applyAlignment="1">
      <alignment horizontal="right"/>
    </xf>
    <xf numFmtId="0" fontId="0" fillId="5" borderId="1" xfId="0" applyFill="1" applyBorder="1" applyAlignment="1">
      <alignment horizontal="center"/>
    </xf>
    <xf numFmtId="0" fontId="1" fillId="11" borderId="1" xfId="0" applyFont="1" applyFill="1" applyBorder="1"/>
    <xf numFmtId="14" fontId="0" fillId="0" borderId="1" xfId="0" applyNumberFormat="1" applyBorder="1"/>
    <xf numFmtId="43" fontId="0" fillId="0" borderId="1" xfId="1" applyFont="1" applyBorder="1" applyAlignment="1"/>
    <xf numFmtId="0" fontId="1" fillId="10" borderId="1" xfId="0" applyFont="1" applyFill="1" applyBorder="1" applyAlignment="1">
      <alignment horizontal="center"/>
    </xf>
    <xf numFmtId="43" fontId="0" fillId="5" borderId="4" xfId="1" applyFont="1" applyFill="1" applyBorder="1"/>
    <xf numFmtId="0" fontId="1" fillId="11" borderId="2" xfId="0" applyFont="1" applyFill="1" applyBorder="1"/>
    <xf numFmtId="43" fontId="0" fillId="5" borderId="4" xfId="0" applyNumberFormat="1" applyFill="1" applyBorder="1"/>
    <xf numFmtId="0" fontId="1" fillId="0" borderId="4" xfId="0" applyFont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165" fontId="0" fillId="0" borderId="5" xfId="0" applyNumberFormat="1" applyBorder="1"/>
    <xf numFmtId="165" fontId="1" fillId="3" borderId="5" xfId="0" applyNumberFormat="1" applyFont="1" applyFill="1" applyBorder="1"/>
    <xf numFmtId="43" fontId="1" fillId="2" borderId="2" xfId="1" applyFont="1" applyFill="1" applyBorder="1" applyAlignment="1">
      <alignment horizontal="center"/>
    </xf>
    <xf numFmtId="43" fontId="0" fillId="4" borderId="1" xfId="1" applyFont="1" applyFill="1" applyBorder="1"/>
    <xf numFmtId="43" fontId="1" fillId="2" borderId="1" xfId="1" applyFont="1" applyFill="1" applyBorder="1" applyAlignment="1">
      <alignment horizontal="center"/>
    </xf>
    <xf numFmtId="164" fontId="3" fillId="0" borderId="1" xfId="0" applyNumberFormat="1" applyFont="1" applyBorder="1" applyAlignment="1">
      <alignment wrapText="1"/>
    </xf>
    <xf numFmtId="0" fontId="1" fillId="3" borderId="2" xfId="0" applyFont="1" applyFill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6" fontId="1" fillId="7" borderId="1" xfId="1" applyNumberFormat="1" applyFont="1" applyFill="1" applyBorder="1"/>
    <xf numFmtId="166" fontId="1" fillId="12" borderId="2" xfId="1" applyNumberFormat="1" applyFont="1" applyFill="1" applyBorder="1"/>
    <xf numFmtId="166" fontId="1" fillId="12" borderId="1" xfId="1" applyNumberFormat="1" applyFont="1" applyFill="1" applyBorder="1" applyAlignment="1">
      <alignment horizontal="left"/>
    </xf>
    <xf numFmtId="166" fontId="1" fillId="12" borderId="3" xfId="1" applyNumberFormat="1" applyFont="1" applyFill="1" applyBorder="1" applyAlignment="1">
      <alignment horizontal="left"/>
    </xf>
    <xf numFmtId="166" fontId="1" fillId="12" borderId="1" xfId="1" applyNumberFormat="1" applyFont="1" applyFill="1" applyBorder="1" applyAlignment="1">
      <alignment horizontal="right"/>
    </xf>
    <xf numFmtId="166" fontId="0" fillId="12" borderId="0" xfId="1" applyNumberFormat="1" applyFont="1" applyFill="1"/>
    <xf numFmtId="166" fontId="1" fillId="2" borderId="1" xfId="1" applyNumberFormat="1" applyFont="1" applyFill="1" applyBorder="1" applyAlignment="1">
      <alignment horizontal="right"/>
    </xf>
    <xf numFmtId="166" fontId="0" fillId="0" borderId="1" xfId="0" applyNumberFormat="1" applyBorder="1"/>
    <xf numFmtId="166" fontId="0" fillId="0" borderId="1" xfId="1" applyNumberFormat="1" applyFont="1" applyBorder="1"/>
    <xf numFmtId="165" fontId="0" fillId="0" borderId="6" xfId="0" applyNumberFormat="1" applyBorder="1" applyAlignment="1">
      <alignment horizontal="right"/>
    </xf>
    <xf numFmtId="16" fontId="0" fillId="0" borderId="0" xfId="0" applyNumberFormat="1"/>
    <xf numFmtId="16" fontId="1" fillId="2" borderId="5" xfId="0" applyNumberFormat="1" applyFont="1" applyFill="1" applyBorder="1" applyAlignment="1">
      <alignment horizontal="left"/>
    </xf>
    <xf numFmtId="0" fontId="0" fillId="7" borderId="1" xfId="0" applyFill="1" applyBorder="1"/>
    <xf numFmtId="14" fontId="0" fillId="7" borderId="1" xfId="0" applyNumberFormat="1" applyFill="1" applyBorder="1"/>
    <xf numFmtId="43" fontId="0" fillId="7" borderId="1" xfId="1" applyFont="1" applyFill="1" applyBorder="1"/>
    <xf numFmtId="43" fontId="0" fillId="0" borderId="6" xfId="1" applyFont="1" applyBorder="1"/>
    <xf numFmtId="0" fontId="1" fillId="0" borderId="0" xfId="0" applyFont="1"/>
    <xf numFmtId="43" fontId="1" fillId="0" borderId="0" xfId="0" applyNumberFormat="1" applyFont="1"/>
    <xf numFmtId="43" fontId="0" fillId="6" borderId="2" xfId="1" applyFont="1" applyFill="1" applyBorder="1"/>
    <xf numFmtId="0" fontId="1" fillId="2" borderId="1" xfId="0" applyFont="1" applyFill="1" applyBorder="1"/>
    <xf numFmtId="0" fontId="1" fillId="0" borderId="1" xfId="0" applyFont="1" applyBorder="1"/>
    <xf numFmtId="3" fontId="0" fillId="0" borderId="0" xfId="0" applyNumberFormat="1"/>
    <xf numFmtId="166" fontId="1" fillId="0" borderId="0" xfId="1" applyNumberFormat="1" applyFont="1" applyFill="1" applyBorder="1"/>
    <xf numFmtId="0" fontId="1" fillId="0" borderId="0" xfId="0" applyFont="1" applyAlignment="1">
      <alignment horizontal="center"/>
    </xf>
    <xf numFmtId="43" fontId="1" fillId="0" borderId="0" xfId="1" applyFont="1" applyFill="1" applyBorder="1" applyAlignment="1">
      <alignment horizontal="center"/>
    </xf>
    <xf numFmtId="16" fontId="1" fillId="0" borderId="0" xfId="0" applyNumberFormat="1" applyFont="1"/>
    <xf numFmtId="43" fontId="0" fillId="0" borderId="0" xfId="1" applyFont="1" applyFill="1" applyBorder="1"/>
    <xf numFmtId="16" fontId="1" fillId="0" borderId="0" xfId="0" applyNumberFormat="1" applyFont="1" applyAlignment="1">
      <alignment horizontal="left"/>
    </xf>
    <xf numFmtId="166" fontId="1" fillId="0" borderId="0" xfId="1" applyNumberFormat="1" applyFont="1" applyFill="1" applyBorder="1" applyAlignment="1">
      <alignment horizontal="left"/>
    </xf>
    <xf numFmtId="16" fontId="1" fillId="0" borderId="0" xfId="0" applyNumberFormat="1" applyFont="1" applyAlignment="1">
      <alignment horizontal="right"/>
    </xf>
    <xf numFmtId="166" fontId="1" fillId="0" borderId="0" xfId="1" applyNumberFormat="1" applyFont="1" applyFill="1" applyBorder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left"/>
    </xf>
    <xf numFmtId="166" fontId="1" fillId="0" borderId="1" xfId="1" applyNumberFormat="1" applyFont="1" applyFill="1" applyBorder="1" applyAlignment="1">
      <alignment horizontal="left"/>
    </xf>
    <xf numFmtId="165" fontId="1" fillId="0" borderId="1" xfId="0" applyNumberFormat="1" applyFont="1" applyBorder="1" applyAlignment="1">
      <alignment horizontal="center"/>
    </xf>
    <xf numFmtId="43" fontId="1" fillId="0" borderId="1" xfId="1" applyFont="1" applyFill="1" applyBorder="1" applyAlignment="1">
      <alignment horizontal="center"/>
    </xf>
    <xf numFmtId="43" fontId="1" fillId="0" borderId="1" xfId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1" fillId="2" borderId="1" xfId="1" applyFont="1" applyFill="1" applyBorder="1" applyAlignment="1">
      <alignment horizontal="right"/>
    </xf>
    <xf numFmtId="0" fontId="0" fillId="13" borderId="7" xfId="0" applyFill="1" applyBorder="1"/>
    <xf numFmtId="43" fontId="1" fillId="2" borderId="2" xfId="1" applyFont="1" applyFill="1" applyBorder="1" applyAlignment="1">
      <alignment horizontal="right"/>
    </xf>
    <xf numFmtId="165" fontId="0" fillId="13" borderId="7" xfId="0" applyNumberFormat="1" applyFill="1" applyBorder="1"/>
    <xf numFmtId="43" fontId="0" fillId="13" borderId="7" xfId="1" applyFont="1" applyFill="1" applyBorder="1"/>
    <xf numFmtId="43" fontId="4" fillId="8" borderId="1" xfId="0" applyNumberFormat="1" applyFont="1" applyFill="1" applyBorder="1"/>
    <xf numFmtId="166" fontId="1" fillId="0" borderId="1" xfId="1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43" fontId="4" fillId="0" borderId="0" xfId="0" applyNumberFormat="1" applyFont="1"/>
    <xf numFmtId="43" fontId="1" fillId="0" borderId="0" xfId="1" applyFont="1" applyFill="1" applyBorder="1" applyAlignment="1">
      <alignment horizontal="right"/>
    </xf>
    <xf numFmtId="165" fontId="0" fillId="0" borderId="8" xfId="0" applyNumberFormat="1" applyBorder="1"/>
    <xf numFmtId="0" fontId="0" fillId="14" borderId="7" xfId="0" applyFill="1" applyBorder="1"/>
    <xf numFmtId="165" fontId="0" fillId="0" borderId="9" xfId="0" applyNumberFormat="1" applyBorder="1"/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E6DB-215F-437A-9869-019460EA3C98}">
  <dimension ref="A1:I40"/>
  <sheetViews>
    <sheetView tabSelected="1" zoomScale="97" workbookViewId="0">
      <selection activeCell="G15" sqref="G15"/>
    </sheetView>
  </sheetViews>
  <sheetFormatPr baseColWidth="10" defaultColWidth="10.7109375" defaultRowHeight="15" x14ac:dyDescent="0.25"/>
  <cols>
    <col min="1" max="1" width="10" bestFit="1" customWidth="1"/>
    <col min="2" max="2" width="6.5703125" style="52" customWidth="1"/>
    <col min="3" max="3" width="15.42578125" customWidth="1"/>
    <col min="4" max="4" width="13.7109375" bestFit="1" customWidth="1"/>
    <col min="5" max="5" width="12.5703125" bestFit="1" customWidth="1"/>
    <col min="6" max="6" width="13.7109375" bestFit="1" customWidth="1"/>
    <col min="7" max="7" width="11.42578125" customWidth="1"/>
    <col min="8" max="8" width="14.85546875" customWidth="1"/>
    <col min="9" max="9" width="13.7109375" customWidth="1"/>
  </cols>
  <sheetData>
    <row r="1" spans="1:9" x14ac:dyDescent="0.25">
      <c r="A1" s="66" t="s">
        <v>37</v>
      </c>
      <c r="B1" s="47" t="s">
        <v>29</v>
      </c>
      <c r="C1" s="1" t="s">
        <v>0</v>
      </c>
      <c r="D1" s="1" t="s">
        <v>10</v>
      </c>
      <c r="E1" s="38" t="s">
        <v>28</v>
      </c>
      <c r="F1" s="41" t="s">
        <v>27</v>
      </c>
    </row>
    <row r="2" spans="1:9" x14ac:dyDescent="0.25">
      <c r="A2" s="14" t="s">
        <v>1</v>
      </c>
      <c r="B2" s="48"/>
      <c r="C2" s="10"/>
      <c r="D2" s="10"/>
      <c r="E2" s="39"/>
      <c r="F2" s="26"/>
      <c r="H2" s="7" t="s">
        <v>5</v>
      </c>
      <c r="I2" s="10">
        <f>C8+C16+C24+C32+C40</f>
        <v>2704000</v>
      </c>
    </row>
    <row r="3" spans="1:9" x14ac:dyDescent="0.25">
      <c r="A3" s="3"/>
      <c r="B3" s="49"/>
      <c r="C3" s="10"/>
      <c r="D3" s="10">
        <f>+C3/2</f>
        <v>0</v>
      </c>
      <c r="E3" s="39">
        <f>+D3</f>
        <v>0</v>
      </c>
      <c r="F3" s="26"/>
      <c r="H3" s="7" t="s">
        <v>11</v>
      </c>
      <c r="I3" s="10">
        <f>D8+D16+D24+D32+D40</f>
        <v>1352000</v>
      </c>
    </row>
    <row r="4" spans="1:9" x14ac:dyDescent="0.25">
      <c r="A4" s="3">
        <v>46113</v>
      </c>
      <c r="B4" s="49">
        <v>8</v>
      </c>
      <c r="C4" s="10">
        <v>129000</v>
      </c>
      <c r="D4" s="10">
        <f t="shared" ref="D4:D5" si="0">+C4/2</f>
        <v>64500</v>
      </c>
      <c r="E4" s="39">
        <f t="shared" ref="E4:E6" si="1">+D4</f>
        <v>64500</v>
      </c>
      <c r="F4" s="26">
        <v>129000</v>
      </c>
      <c r="H4" s="7" t="s">
        <v>71</v>
      </c>
      <c r="I4" s="10">
        <f>E8+E24+E32+E40+E16</f>
        <v>1352000</v>
      </c>
    </row>
    <row r="5" spans="1:9" x14ac:dyDescent="0.25">
      <c r="A5" s="3">
        <v>46114</v>
      </c>
      <c r="B5" s="50">
        <v>7</v>
      </c>
      <c r="C5" s="10">
        <v>124000</v>
      </c>
      <c r="D5" s="10">
        <f t="shared" si="0"/>
        <v>62000</v>
      </c>
      <c r="E5" s="39">
        <f t="shared" si="1"/>
        <v>62000</v>
      </c>
      <c r="F5" s="26">
        <v>74000</v>
      </c>
    </row>
    <row r="6" spans="1:9" x14ac:dyDescent="0.25">
      <c r="A6" s="3">
        <v>46115</v>
      </c>
      <c r="B6" s="49">
        <v>4</v>
      </c>
      <c r="C6" s="10">
        <v>70000</v>
      </c>
      <c r="D6" s="10">
        <f t="shared" ref="D6" si="2">+C6/2</f>
        <v>35000</v>
      </c>
      <c r="E6" s="39">
        <f t="shared" si="1"/>
        <v>35000</v>
      </c>
      <c r="F6" s="26">
        <v>34000</v>
      </c>
      <c r="H6" s="7" t="s">
        <v>31</v>
      </c>
      <c r="I6" s="55">
        <f>+B8+B16+B24+B32+B40</f>
        <v>157</v>
      </c>
    </row>
    <row r="7" spans="1:9" x14ac:dyDescent="0.25">
      <c r="A7" s="3">
        <v>46116</v>
      </c>
      <c r="B7" s="49">
        <v>5</v>
      </c>
      <c r="C7" s="10">
        <v>93000</v>
      </c>
      <c r="D7" s="10">
        <f>+C7/2</f>
        <v>46500</v>
      </c>
      <c r="E7" s="39">
        <f>+D7</f>
        <v>46500</v>
      </c>
      <c r="F7" s="26">
        <v>58000</v>
      </c>
    </row>
    <row r="8" spans="1:9" x14ac:dyDescent="0.25">
      <c r="A8" s="5" t="s">
        <v>5</v>
      </c>
      <c r="B8" s="53">
        <f>SUM(B3:B7)</f>
        <v>24</v>
      </c>
      <c r="C8" s="11">
        <f>SUM(C3:C7)</f>
        <v>416000</v>
      </c>
      <c r="D8" s="11">
        <f>SUM(D3:D7)</f>
        <v>208000</v>
      </c>
      <c r="E8" s="40">
        <f>SUM(E3:E7)</f>
        <v>208000</v>
      </c>
      <c r="F8" s="42">
        <f>SUM(F3:F7)</f>
        <v>295000</v>
      </c>
      <c r="I8" s="13"/>
    </row>
    <row r="9" spans="1:9" x14ac:dyDescent="0.25">
      <c r="A9" s="4"/>
      <c r="B9" s="49"/>
      <c r="C9" s="10"/>
      <c r="D9" s="10"/>
      <c r="E9" s="39"/>
      <c r="F9" s="26"/>
    </row>
    <row r="10" spans="1:9" x14ac:dyDescent="0.25">
      <c r="A10" s="3" t="s">
        <v>2</v>
      </c>
      <c r="B10" s="49"/>
      <c r="C10" s="10"/>
      <c r="D10" s="10"/>
      <c r="E10" s="39"/>
      <c r="F10" s="26"/>
    </row>
    <row r="11" spans="1:9" x14ac:dyDescent="0.25">
      <c r="A11" s="58">
        <v>46119</v>
      </c>
      <c r="B11" s="49">
        <v>4</v>
      </c>
      <c r="C11" s="10">
        <v>69000</v>
      </c>
      <c r="D11" s="10">
        <f t="shared" ref="D11" si="3">+C11/2</f>
        <v>34500</v>
      </c>
      <c r="E11" s="39">
        <f t="shared" ref="E11" si="4">+D11</f>
        <v>34500</v>
      </c>
      <c r="F11" s="26">
        <v>18000</v>
      </c>
    </row>
    <row r="12" spans="1:9" x14ac:dyDescent="0.25">
      <c r="A12" s="58">
        <v>46120</v>
      </c>
      <c r="B12" s="49">
        <v>4</v>
      </c>
      <c r="C12" s="10">
        <v>60000</v>
      </c>
      <c r="D12" s="10">
        <f>+C12/2</f>
        <v>30000</v>
      </c>
      <c r="E12" s="39">
        <f>+D12</f>
        <v>30000</v>
      </c>
      <c r="F12" s="26">
        <v>33000</v>
      </c>
    </row>
    <row r="13" spans="1:9" x14ac:dyDescent="0.25">
      <c r="A13" s="58">
        <v>46121</v>
      </c>
      <c r="B13" s="49">
        <v>11</v>
      </c>
      <c r="C13" s="10">
        <v>185000</v>
      </c>
      <c r="D13" s="10">
        <f t="shared" ref="D13" si="5">+C13/2</f>
        <v>92500</v>
      </c>
      <c r="E13" s="39">
        <f t="shared" ref="E13" si="6">+D13</f>
        <v>92500</v>
      </c>
      <c r="F13" s="26">
        <v>104000</v>
      </c>
    </row>
    <row r="14" spans="1:9" x14ac:dyDescent="0.25">
      <c r="A14" s="58">
        <v>46122</v>
      </c>
      <c r="B14" s="49">
        <v>12</v>
      </c>
      <c r="C14" s="10">
        <v>214000</v>
      </c>
      <c r="D14" s="10">
        <f>+C14/2</f>
        <v>107000</v>
      </c>
      <c r="E14" s="10">
        <f>+D14</f>
        <v>107000</v>
      </c>
      <c r="F14" s="26">
        <v>123000</v>
      </c>
    </row>
    <row r="15" spans="1:9" x14ac:dyDescent="0.25">
      <c r="A15" s="58">
        <v>46123</v>
      </c>
      <c r="B15" s="49">
        <v>6</v>
      </c>
      <c r="C15" s="10">
        <v>107000</v>
      </c>
      <c r="D15" s="10">
        <f t="shared" ref="D15" si="7">+C15/2</f>
        <v>53500</v>
      </c>
      <c r="E15" s="39">
        <f t="shared" ref="E15" si="8">+D15</f>
        <v>53500</v>
      </c>
      <c r="F15" s="26">
        <v>95000</v>
      </c>
    </row>
    <row r="16" spans="1:9" x14ac:dyDescent="0.25">
      <c r="A16" s="6" t="s">
        <v>5</v>
      </c>
      <c r="B16" s="53">
        <f>SUM(B11:B15)</f>
        <v>37</v>
      </c>
      <c r="C16" s="11">
        <f>SUM(C11:C15)</f>
        <v>635000</v>
      </c>
      <c r="D16" s="11">
        <f>SUM(D11:D15)</f>
        <v>317500</v>
      </c>
      <c r="E16" s="40">
        <f t="shared" ref="E16" si="9">SUM(E11:E15)</f>
        <v>317500</v>
      </c>
      <c r="F16" s="42">
        <f>SUM(F11:F15)</f>
        <v>373000</v>
      </c>
    </row>
    <row r="17" spans="1:8" x14ac:dyDescent="0.25">
      <c r="A17" s="6"/>
      <c r="B17" s="51"/>
      <c r="C17" s="10"/>
      <c r="D17" s="10"/>
      <c r="E17" s="39"/>
      <c r="F17" s="26"/>
    </row>
    <row r="18" spans="1:8" x14ac:dyDescent="0.25">
      <c r="A18" s="6" t="s">
        <v>9</v>
      </c>
      <c r="B18" s="51"/>
      <c r="C18" s="10"/>
      <c r="D18" s="10"/>
      <c r="E18" s="39"/>
      <c r="F18" s="26"/>
      <c r="H18" s="15"/>
    </row>
    <row r="19" spans="1:8" x14ac:dyDescent="0.25">
      <c r="A19" s="3">
        <v>46126</v>
      </c>
      <c r="B19" s="49">
        <v>8</v>
      </c>
      <c r="C19" s="10">
        <v>135000</v>
      </c>
      <c r="D19" s="10">
        <f>+C19/2</f>
        <v>67500</v>
      </c>
      <c r="E19" s="39">
        <f>+D19</f>
        <v>67500</v>
      </c>
      <c r="F19" s="26">
        <v>69000</v>
      </c>
      <c r="H19" s="15"/>
    </row>
    <row r="20" spans="1:8" x14ac:dyDescent="0.25">
      <c r="A20" s="3">
        <v>46127</v>
      </c>
      <c r="B20" s="49">
        <v>1</v>
      </c>
      <c r="C20" s="10">
        <v>18000</v>
      </c>
      <c r="D20" s="10">
        <f>+C20/2</f>
        <v>9000</v>
      </c>
      <c r="E20" s="39">
        <f>+D20</f>
        <v>9000</v>
      </c>
      <c r="F20" s="26">
        <v>18000</v>
      </c>
    </row>
    <row r="21" spans="1:8" x14ac:dyDescent="0.25">
      <c r="A21" s="3">
        <v>46128</v>
      </c>
      <c r="B21" s="49">
        <v>8</v>
      </c>
      <c r="C21" s="10">
        <v>136000</v>
      </c>
      <c r="D21" s="10">
        <f>+C21/2</f>
        <v>68000</v>
      </c>
      <c r="E21" s="39">
        <f>+D21</f>
        <v>68000</v>
      </c>
      <c r="F21" s="26">
        <v>85000</v>
      </c>
    </row>
    <row r="22" spans="1:8" x14ac:dyDescent="0.25">
      <c r="A22" s="3">
        <v>46129</v>
      </c>
      <c r="B22" s="49">
        <v>12</v>
      </c>
      <c r="C22" s="10">
        <v>199000</v>
      </c>
      <c r="D22" s="10">
        <f>+C22/2</f>
        <v>99500</v>
      </c>
      <c r="E22" s="39">
        <f>+D22</f>
        <v>99500</v>
      </c>
      <c r="F22" s="26">
        <v>136000</v>
      </c>
    </row>
    <row r="23" spans="1:8" x14ac:dyDescent="0.25">
      <c r="A23" s="3">
        <v>46130</v>
      </c>
      <c r="B23" s="49">
        <v>7</v>
      </c>
      <c r="C23" s="10">
        <v>125000</v>
      </c>
      <c r="D23" s="10">
        <f>+C23/2</f>
        <v>62500</v>
      </c>
      <c r="E23" s="39">
        <f>+D23</f>
        <v>62500</v>
      </c>
      <c r="F23" s="26">
        <v>76000</v>
      </c>
    </row>
    <row r="24" spans="1:8" x14ac:dyDescent="0.25">
      <c r="A24" s="5" t="s">
        <v>5</v>
      </c>
      <c r="B24" s="53">
        <f>SUM(B19:B23)</f>
        <v>36</v>
      </c>
      <c r="C24" s="11">
        <f>SUM(C19:C23)</f>
        <v>613000</v>
      </c>
      <c r="D24" s="11">
        <f>SUM(D19:D23)</f>
        <v>306500</v>
      </c>
      <c r="E24" s="40">
        <f>SUM(E19:E23)</f>
        <v>306500</v>
      </c>
      <c r="F24" s="42">
        <f>SUM(F19:F23)</f>
        <v>384000</v>
      </c>
      <c r="G24" s="15"/>
      <c r="H24" s="15"/>
    </row>
    <row r="25" spans="1:8" x14ac:dyDescent="0.25">
      <c r="A25" s="4"/>
      <c r="B25" s="49"/>
      <c r="C25" s="10"/>
      <c r="D25" s="10"/>
      <c r="E25" s="39"/>
      <c r="F25" s="26"/>
    </row>
    <row r="26" spans="1:8" x14ac:dyDescent="0.25">
      <c r="A26" s="4" t="s">
        <v>3</v>
      </c>
      <c r="B26" s="49"/>
      <c r="C26" s="10"/>
      <c r="D26" s="10"/>
      <c r="E26" s="39"/>
      <c r="F26" s="26"/>
    </row>
    <row r="27" spans="1:8" x14ac:dyDescent="0.25">
      <c r="A27" s="3">
        <v>46133</v>
      </c>
      <c r="B27" s="49">
        <v>3</v>
      </c>
      <c r="C27" s="10">
        <v>55000</v>
      </c>
      <c r="D27" s="10">
        <f t="shared" ref="D27" si="10">+C27/2</f>
        <v>27500</v>
      </c>
      <c r="E27" s="39">
        <f t="shared" ref="E27" si="11">+D27</f>
        <v>27500</v>
      </c>
      <c r="F27" s="26">
        <v>55000</v>
      </c>
      <c r="G27" s="13"/>
    </row>
    <row r="28" spans="1:8" x14ac:dyDescent="0.25">
      <c r="A28" s="3">
        <v>46134</v>
      </c>
      <c r="B28" s="49">
        <v>6</v>
      </c>
      <c r="C28" s="10">
        <v>106000</v>
      </c>
      <c r="D28" s="10">
        <f t="shared" ref="D28" si="12">+C28/2</f>
        <v>53000</v>
      </c>
      <c r="E28" s="39">
        <f t="shared" ref="E28" si="13">+D28</f>
        <v>53000</v>
      </c>
      <c r="F28" s="26">
        <v>71000</v>
      </c>
      <c r="G28" s="13"/>
      <c r="H28" s="15"/>
    </row>
    <row r="29" spans="1:8" x14ac:dyDescent="0.25">
      <c r="A29" s="3">
        <v>46135</v>
      </c>
      <c r="B29" s="49">
        <v>11</v>
      </c>
      <c r="C29" s="10">
        <v>185000</v>
      </c>
      <c r="D29" s="10">
        <f t="shared" ref="D29" si="14">+C29/2</f>
        <v>92500</v>
      </c>
      <c r="E29" s="39">
        <f t="shared" ref="E29" si="15">+D29</f>
        <v>92500</v>
      </c>
      <c r="F29" s="26">
        <v>149000</v>
      </c>
      <c r="G29" s="13"/>
    </row>
    <row r="30" spans="1:8" x14ac:dyDescent="0.25">
      <c r="A30" s="3">
        <v>46136</v>
      </c>
      <c r="B30" s="49">
        <v>11</v>
      </c>
      <c r="C30" s="10">
        <v>197000</v>
      </c>
      <c r="D30" s="10">
        <f t="shared" ref="D30:D31" si="16">+C30/2</f>
        <v>98500</v>
      </c>
      <c r="E30" s="39">
        <f t="shared" ref="E30:E31" si="17">+D30</f>
        <v>98500</v>
      </c>
      <c r="F30" s="26">
        <v>125000</v>
      </c>
      <c r="G30" s="13"/>
    </row>
    <row r="31" spans="1:8" x14ac:dyDescent="0.25">
      <c r="A31" s="3">
        <v>46137</v>
      </c>
      <c r="B31" s="49">
        <v>7</v>
      </c>
      <c r="C31" s="10">
        <v>118000</v>
      </c>
      <c r="D31" s="10">
        <f t="shared" si="16"/>
        <v>59000</v>
      </c>
      <c r="E31" s="39">
        <f t="shared" si="17"/>
        <v>59000</v>
      </c>
      <c r="F31" s="26">
        <v>63000</v>
      </c>
      <c r="G31" s="13"/>
    </row>
    <row r="32" spans="1:8" x14ac:dyDescent="0.25">
      <c r="A32" s="5" t="s">
        <v>5</v>
      </c>
      <c r="B32" s="53">
        <f>SUM(B27:B31)</f>
        <v>38</v>
      </c>
      <c r="C32" s="11">
        <f>SUM(C27:C31)</f>
        <v>661000</v>
      </c>
      <c r="D32" s="11">
        <f>SUM(D27:D31)</f>
        <v>330500</v>
      </c>
      <c r="E32" s="40">
        <f>SUM(E27:E31)</f>
        <v>330500</v>
      </c>
      <c r="F32" s="42">
        <f>SUM(F27:F31)</f>
        <v>463000</v>
      </c>
    </row>
    <row r="33" spans="1:6" x14ac:dyDescent="0.25">
      <c r="A33" s="4"/>
      <c r="B33" s="49"/>
      <c r="C33" s="10"/>
      <c r="D33" s="10"/>
      <c r="E33" s="39"/>
      <c r="F33" s="26"/>
    </row>
    <row r="34" spans="1:6" x14ac:dyDescent="0.25">
      <c r="A34" s="4" t="s">
        <v>4</v>
      </c>
      <c r="B34" s="49"/>
      <c r="C34" s="10"/>
      <c r="D34" s="10"/>
      <c r="E34" s="39"/>
      <c r="F34" s="26"/>
    </row>
    <row r="35" spans="1:6" x14ac:dyDescent="0.25">
      <c r="A35" s="3">
        <v>46140</v>
      </c>
      <c r="B35" s="49">
        <v>5</v>
      </c>
      <c r="C35" s="10">
        <v>86000</v>
      </c>
      <c r="D35" s="10">
        <f t="shared" ref="D35" si="18">+C35/2</f>
        <v>43000</v>
      </c>
      <c r="E35" s="39">
        <f t="shared" ref="E35" si="19">+D35</f>
        <v>43000</v>
      </c>
      <c r="F35" s="26">
        <v>68000</v>
      </c>
    </row>
    <row r="36" spans="1:6" x14ac:dyDescent="0.25">
      <c r="A36" s="3">
        <v>46141</v>
      </c>
      <c r="B36" s="49">
        <v>6</v>
      </c>
      <c r="C36" s="10">
        <v>105000</v>
      </c>
      <c r="D36" s="10">
        <f t="shared" ref="D36" si="20">+C36/2</f>
        <v>52500</v>
      </c>
      <c r="E36" s="39">
        <f t="shared" ref="E36" si="21">+D36</f>
        <v>52500</v>
      </c>
      <c r="F36" s="26">
        <v>105000</v>
      </c>
    </row>
    <row r="37" spans="1:6" x14ac:dyDescent="0.25">
      <c r="A37" s="3">
        <v>46142</v>
      </c>
      <c r="B37" s="49">
        <v>11</v>
      </c>
      <c r="C37" s="10">
        <v>188000</v>
      </c>
      <c r="D37" s="10">
        <f t="shared" ref="D37" si="22">+C37/2</f>
        <v>94000</v>
      </c>
      <c r="E37" s="39">
        <f t="shared" ref="E37" si="23">+D37</f>
        <v>94000</v>
      </c>
      <c r="F37" s="26">
        <v>143000</v>
      </c>
    </row>
    <row r="38" spans="1:6" x14ac:dyDescent="0.25">
      <c r="A38" s="3"/>
      <c r="B38" s="49"/>
      <c r="C38" s="10"/>
      <c r="D38" s="10">
        <f t="shared" ref="D38" si="24">+C38/2</f>
        <v>0</v>
      </c>
      <c r="E38" s="39">
        <f t="shared" ref="E38" si="25">+D38</f>
        <v>0</v>
      </c>
      <c r="F38" s="26"/>
    </row>
    <row r="39" spans="1:6" x14ac:dyDescent="0.25">
      <c r="A39" s="3"/>
      <c r="B39" s="49"/>
      <c r="C39" s="10"/>
      <c r="D39" s="10">
        <f t="shared" ref="D39" si="26">+C39/2</f>
        <v>0</v>
      </c>
      <c r="E39" s="39">
        <f t="shared" ref="E39" si="27">+D39</f>
        <v>0</v>
      </c>
      <c r="F39" s="26"/>
    </row>
    <row r="40" spans="1:6" x14ac:dyDescent="0.25">
      <c r="A40" s="6" t="s">
        <v>5</v>
      </c>
      <c r="B40" s="53">
        <f>SUM(B35:B39)</f>
        <v>22</v>
      </c>
      <c r="C40" s="11">
        <f>SUM(C35:C39)</f>
        <v>379000</v>
      </c>
      <c r="D40" s="11">
        <f>SUM(D35:D39)</f>
        <v>189500</v>
      </c>
      <c r="E40" s="11">
        <f>SUM(E35:E39)</f>
        <v>189500</v>
      </c>
      <c r="F40" s="42">
        <f>SUM(F35:F39)</f>
        <v>316000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5A0C-E3D5-4CBB-BECE-B2B323E30204}">
  <dimension ref="A1:S40"/>
  <sheetViews>
    <sheetView topLeftCell="A14" workbookViewId="0">
      <selection activeCell="F12" sqref="F12"/>
    </sheetView>
  </sheetViews>
  <sheetFormatPr baseColWidth="10" defaultColWidth="10.7109375" defaultRowHeight="15" x14ac:dyDescent="0.25"/>
  <cols>
    <col min="1" max="1" width="10" bestFit="1" customWidth="1"/>
    <col min="2" max="2" width="6" style="52" customWidth="1"/>
    <col min="3" max="3" width="16.7109375" customWidth="1"/>
    <col min="4" max="4" width="13" hidden="1" customWidth="1"/>
    <col min="5" max="5" width="14.28515625" hidden="1" customWidth="1"/>
    <col min="6" max="6" width="14.28515625" customWidth="1"/>
    <col min="7" max="7" width="15.28515625" customWidth="1"/>
    <col min="8" max="8" width="14.85546875" customWidth="1"/>
    <col min="13" max="13" width="14.28515625" bestFit="1" customWidth="1"/>
    <col min="14" max="14" width="6.28515625" bestFit="1" customWidth="1"/>
    <col min="19" max="19" width="10.140625" bestFit="1" customWidth="1"/>
  </cols>
  <sheetData>
    <row r="1" spans="1:19" x14ac:dyDescent="0.25">
      <c r="A1" s="66" t="s">
        <v>37</v>
      </c>
      <c r="B1" s="47" t="s">
        <v>29</v>
      </c>
      <c r="C1" s="1" t="s">
        <v>0</v>
      </c>
      <c r="D1" s="1" t="s">
        <v>10</v>
      </c>
      <c r="E1" s="1" t="s">
        <v>26</v>
      </c>
    </row>
    <row r="2" spans="1:19" x14ac:dyDescent="0.25">
      <c r="A2" s="14" t="s">
        <v>1</v>
      </c>
      <c r="B2" s="48"/>
      <c r="C2" s="10"/>
      <c r="D2" s="10"/>
      <c r="E2" s="10"/>
      <c r="G2" s="7" t="s">
        <v>5</v>
      </c>
      <c r="H2" s="10">
        <f>C8+C16+C24+C32+C40</f>
        <v>2538000</v>
      </c>
      <c r="K2" s="63"/>
      <c r="L2" s="69"/>
      <c r="M2" s="70"/>
      <c r="N2" s="70"/>
      <c r="O2" s="99"/>
      <c r="P2" s="99"/>
      <c r="Q2" s="99"/>
      <c r="R2" s="99"/>
      <c r="S2" s="92"/>
    </row>
    <row r="3" spans="1:19" x14ac:dyDescent="0.25">
      <c r="A3" s="3"/>
      <c r="B3" s="49"/>
      <c r="C3" s="10"/>
      <c r="D3" s="10">
        <f>+C3/2</f>
        <v>0</v>
      </c>
      <c r="E3" s="10">
        <f>+D3</f>
        <v>0</v>
      </c>
      <c r="G3" s="7" t="s">
        <v>11</v>
      </c>
      <c r="H3" s="10">
        <v>1275000</v>
      </c>
      <c r="K3" s="74"/>
      <c r="L3" s="75"/>
      <c r="M3" s="13"/>
      <c r="N3" s="13"/>
      <c r="O3" s="93"/>
      <c r="P3" s="73"/>
      <c r="Q3" s="71"/>
      <c r="R3" s="73"/>
      <c r="S3" s="94"/>
    </row>
    <row r="4" spans="1:19" x14ac:dyDescent="0.25">
      <c r="A4" s="3">
        <v>46113</v>
      </c>
      <c r="B4" s="49">
        <v>8</v>
      </c>
      <c r="C4" s="10">
        <v>143000</v>
      </c>
      <c r="D4" s="10">
        <f>+C4/2</f>
        <v>71500</v>
      </c>
      <c r="E4" s="10">
        <f>+D4</f>
        <v>71500</v>
      </c>
      <c r="G4" s="7" t="s">
        <v>70</v>
      </c>
      <c r="H4" s="10">
        <f>+H2-H3</f>
        <v>1263000</v>
      </c>
      <c r="K4" s="74"/>
      <c r="L4" s="75"/>
      <c r="M4" s="13"/>
      <c r="N4" s="13"/>
      <c r="O4" s="93"/>
      <c r="P4" s="73"/>
      <c r="Q4" s="71"/>
      <c r="R4" s="73"/>
      <c r="S4" s="94"/>
    </row>
    <row r="5" spans="1:19" x14ac:dyDescent="0.25">
      <c r="A5" s="3">
        <v>46114</v>
      </c>
      <c r="B5" s="50">
        <v>5</v>
      </c>
      <c r="C5" s="10">
        <v>77000</v>
      </c>
      <c r="D5" s="10">
        <f t="shared" ref="D5" si="0">+C5/2</f>
        <v>38500</v>
      </c>
      <c r="E5" s="10">
        <f t="shared" ref="E5" si="1">+D5</f>
        <v>38500</v>
      </c>
      <c r="K5" s="74"/>
      <c r="L5" s="75"/>
      <c r="M5" s="13"/>
      <c r="N5" s="13"/>
      <c r="O5" s="93"/>
      <c r="P5" s="73"/>
      <c r="Q5" s="71"/>
      <c r="R5" s="73"/>
      <c r="S5" s="94"/>
    </row>
    <row r="6" spans="1:19" x14ac:dyDescent="0.25">
      <c r="A6" s="3">
        <v>46115</v>
      </c>
      <c r="B6" s="49">
        <v>3</v>
      </c>
      <c r="C6" s="10">
        <v>65000</v>
      </c>
      <c r="D6" s="10">
        <f>+C6/2</f>
        <v>32500</v>
      </c>
      <c r="E6" s="10">
        <f>+D6</f>
        <v>32500</v>
      </c>
      <c r="G6" s="7" t="s">
        <v>31</v>
      </c>
      <c r="H6" s="55">
        <f>+B8+B16+B24+B32+B40</f>
        <v>148</v>
      </c>
      <c r="K6" s="74"/>
      <c r="L6" s="75"/>
      <c r="M6" s="13"/>
      <c r="N6" s="13"/>
      <c r="O6" s="93"/>
      <c r="P6" s="73"/>
      <c r="Q6" s="71"/>
      <c r="R6" s="73"/>
      <c r="S6" s="94"/>
    </row>
    <row r="7" spans="1:19" x14ac:dyDescent="0.25">
      <c r="A7" s="3">
        <v>46116</v>
      </c>
      <c r="B7" s="49">
        <v>4</v>
      </c>
      <c r="C7" s="10">
        <v>73000</v>
      </c>
      <c r="D7" s="10">
        <f t="shared" ref="D7" si="2">+C7/2</f>
        <v>36500</v>
      </c>
      <c r="E7" s="10">
        <f t="shared" ref="E7" si="3">+D7</f>
        <v>36500</v>
      </c>
      <c r="K7" s="74"/>
      <c r="L7" s="75"/>
      <c r="M7" s="13"/>
      <c r="N7" s="13"/>
      <c r="O7" s="93"/>
      <c r="P7" s="73"/>
      <c r="Q7" s="71"/>
      <c r="R7" s="73"/>
      <c r="S7" s="94"/>
    </row>
    <row r="8" spans="1:19" x14ac:dyDescent="0.25">
      <c r="A8" s="5" t="s">
        <v>5</v>
      </c>
      <c r="B8" s="53">
        <f>SUM(B2:B7)</f>
        <v>20</v>
      </c>
      <c r="C8" s="11">
        <f>SUM(C2:C7)</f>
        <v>358000</v>
      </c>
      <c r="D8" s="11">
        <f>SUM(D2:D7)</f>
        <v>179000</v>
      </c>
      <c r="E8" s="11">
        <f>SUM(E2:E7)</f>
        <v>179000</v>
      </c>
      <c r="G8" t="s">
        <v>34</v>
      </c>
      <c r="K8" s="76"/>
      <c r="L8" s="95"/>
      <c r="M8" s="95"/>
      <c r="N8" s="95"/>
      <c r="O8" s="95"/>
      <c r="P8" s="95"/>
      <c r="Q8" s="95"/>
      <c r="R8" s="95"/>
      <c r="S8" s="95"/>
    </row>
    <row r="9" spans="1:19" x14ac:dyDescent="0.25">
      <c r="A9" s="4"/>
      <c r="B9" s="49"/>
      <c r="C9" s="10"/>
      <c r="D9" s="10"/>
      <c r="E9" s="10"/>
    </row>
    <row r="10" spans="1:19" x14ac:dyDescent="0.25">
      <c r="A10" s="3" t="s">
        <v>2</v>
      </c>
      <c r="B10" s="49"/>
      <c r="C10" s="10"/>
      <c r="D10" s="10"/>
      <c r="E10" s="10"/>
    </row>
    <row r="11" spans="1:19" x14ac:dyDescent="0.25">
      <c r="A11" s="58">
        <v>46119</v>
      </c>
      <c r="B11" s="49">
        <v>5</v>
      </c>
      <c r="C11" s="10">
        <v>88000</v>
      </c>
      <c r="D11" s="10">
        <f>+C11/2</f>
        <v>44000</v>
      </c>
      <c r="E11" s="10">
        <f>+D11</f>
        <v>44000</v>
      </c>
      <c r="H11" s="13"/>
    </row>
    <row r="12" spans="1:19" x14ac:dyDescent="0.25">
      <c r="A12" s="58">
        <v>46120</v>
      </c>
      <c r="B12" s="49">
        <v>5</v>
      </c>
      <c r="C12" s="10">
        <v>86000</v>
      </c>
      <c r="D12" s="10">
        <f>+C12/2</f>
        <v>43000</v>
      </c>
      <c r="E12" s="10">
        <f>+D12</f>
        <v>43000</v>
      </c>
    </row>
    <row r="13" spans="1:19" x14ac:dyDescent="0.25">
      <c r="A13" s="58">
        <v>46121</v>
      </c>
      <c r="B13" s="49">
        <v>8</v>
      </c>
      <c r="C13" s="10">
        <v>136000</v>
      </c>
      <c r="D13" s="10">
        <f>+C13/2</f>
        <v>68000</v>
      </c>
      <c r="E13" s="10">
        <f>+D13</f>
        <v>68000</v>
      </c>
    </row>
    <row r="14" spans="1:19" x14ac:dyDescent="0.25">
      <c r="A14" s="58">
        <v>46122</v>
      </c>
      <c r="B14" s="49">
        <v>11</v>
      </c>
      <c r="C14" s="10">
        <v>187000</v>
      </c>
      <c r="D14" s="10">
        <f>+C14/2</f>
        <v>93500</v>
      </c>
      <c r="E14" s="10">
        <f>+D14</f>
        <v>93500</v>
      </c>
    </row>
    <row r="15" spans="1:19" x14ac:dyDescent="0.25">
      <c r="A15" s="58">
        <v>46123</v>
      </c>
      <c r="B15" s="49">
        <v>7</v>
      </c>
      <c r="C15" s="10">
        <v>127000</v>
      </c>
      <c r="D15" s="10">
        <f t="shared" ref="D15" si="4">+C15/2</f>
        <v>63500</v>
      </c>
      <c r="E15" s="10">
        <f t="shared" ref="E15" si="5">+D15</f>
        <v>63500</v>
      </c>
    </row>
    <row r="16" spans="1:19" x14ac:dyDescent="0.25">
      <c r="A16" s="6" t="s">
        <v>5</v>
      </c>
      <c r="B16" s="53">
        <f>SUM(B10:B15)</f>
        <v>36</v>
      </c>
      <c r="C16" s="11">
        <f>SUM(C11:C15)</f>
        <v>624000</v>
      </c>
      <c r="D16" s="11">
        <f t="shared" ref="D16:E16" si="6">SUM(D11:D15)</f>
        <v>312000</v>
      </c>
      <c r="E16" s="11">
        <f t="shared" si="6"/>
        <v>312000</v>
      </c>
    </row>
    <row r="17" spans="1:6" x14ac:dyDescent="0.25">
      <c r="A17" s="6"/>
      <c r="B17" s="51"/>
      <c r="C17" s="10"/>
      <c r="D17" s="10"/>
      <c r="E17" s="10"/>
    </row>
    <row r="18" spans="1:6" x14ac:dyDescent="0.25">
      <c r="A18" s="6" t="s">
        <v>9</v>
      </c>
      <c r="B18" s="51"/>
      <c r="C18" s="10"/>
      <c r="D18" s="10"/>
      <c r="E18" s="10"/>
    </row>
    <row r="19" spans="1:6" x14ac:dyDescent="0.25">
      <c r="A19" s="3">
        <v>46126</v>
      </c>
      <c r="B19" s="49">
        <v>9</v>
      </c>
      <c r="C19" s="10">
        <v>144000</v>
      </c>
      <c r="D19" s="10">
        <f t="shared" ref="D19" si="7">+C19/2</f>
        <v>72000</v>
      </c>
      <c r="E19" s="10">
        <f t="shared" ref="E19" si="8">+D19</f>
        <v>72000</v>
      </c>
    </row>
    <row r="20" spans="1:6" x14ac:dyDescent="0.25">
      <c r="A20" s="3">
        <v>46127</v>
      </c>
      <c r="B20" s="49">
        <v>4</v>
      </c>
      <c r="C20" s="10">
        <v>70000</v>
      </c>
      <c r="D20" s="10">
        <f t="shared" ref="D20" si="9">+C20/2</f>
        <v>35000</v>
      </c>
      <c r="E20" s="10">
        <f t="shared" ref="E20" si="10">+D20</f>
        <v>35000</v>
      </c>
    </row>
    <row r="21" spans="1:6" x14ac:dyDescent="0.25">
      <c r="A21" s="3">
        <v>46128</v>
      </c>
      <c r="B21" s="49">
        <v>6</v>
      </c>
      <c r="C21" s="10">
        <v>107000</v>
      </c>
      <c r="D21" s="10">
        <f t="shared" ref="D21:D22" si="11">+C21/2</f>
        <v>53500</v>
      </c>
      <c r="E21" s="10">
        <f t="shared" ref="E21:E22" si="12">+D21</f>
        <v>53500</v>
      </c>
    </row>
    <row r="22" spans="1:6" x14ac:dyDescent="0.25">
      <c r="A22" s="3">
        <v>46129</v>
      </c>
      <c r="B22" s="49">
        <v>9</v>
      </c>
      <c r="C22" s="10">
        <v>163000</v>
      </c>
      <c r="D22" s="10">
        <f t="shared" si="11"/>
        <v>81500</v>
      </c>
      <c r="E22" s="10">
        <f t="shared" si="12"/>
        <v>81500</v>
      </c>
    </row>
    <row r="23" spans="1:6" x14ac:dyDescent="0.25">
      <c r="A23" s="3">
        <v>46130</v>
      </c>
      <c r="B23" s="49">
        <v>13</v>
      </c>
      <c r="C23" s="10">
        <v>208000</v>
      </c>
      <c r="D23" s="10">
        <f>+C23/2</f>
        <v>104000</v>
      </c>
      <c r="E23" s="10">
        <f>+D23</f>
        <v>104000</v>
      </c>
    </row>
    <row r="24" spans="1:6" x14ac:dyDescent="0.25">
      <c r="A24" s="5" t="s">
        <v>5</v>
      </c>
      <c r="B24" s="53">
        <f>SUM(B18:B23)</f>
        <v>41</v>
      </c>
      <c r="C24" s="11">
        <f>SUM(C19:C23)</f>
        <v>692000</v>
      </c>
      <c r="D24" s="11">
        <f t="shared" ref="D24:E24" si="13">SUM(D19:D23)</f>
        <v>346000</v>
      </c>
      <c r="E24" s="11">
        <f t="shared" si="13"/>
        <v>346000</v>
      </c>
    </row>
    <row r="25" spans="1:6" x14ac:dyDescent="0.25">
      <c r="A25" s="4"/>
      <c r="B25" s="49"/>
      <c r="C25" s="10"/>
      <c r="D25" s="10"/>
      <c r="E25" s="10"/>
    </row>
    <row r="26" spans="1:6" x14ac:dyDescent="0.25">
      <c r="A26" s="4" t="s">
        <v>3</v>
      </c>
      <c r="B26" s="49"/>
      <c r="C26" s="10"/>
      <c r="D26" s="10"/>
      <c r="E26" s="10"/>
    </row>
    <row r="27" spans="1:6" x14ac:dyDescent="0.25">
      <c r="A27" s="3">
        <v>46133</v>
      </c>
      <c r="B27" s="49">
        <v>7</v>
      </c>
      <c r="C27" s="10">
        <v>117000</v>
      </c>
      <c r="D27" s="10">
        <f t="shared" ref="D27:D31" si="14">+C27/2</f>
        <v>58500</v>
      </c>
      <c r="E27" s="10">
        <f t="shared" ref="E27:E31" si="15">+D27</f>
        <v>58500</v>
      </c>
      <c r="F27" s="13"/>
    </row>
    <row r="28" spans="1:6" x14ac:dyDescent="0.25">
      <c r="A28" s="3">
        <v>46134</v>
      </c>
      <c r="B28" s="49">
        <v>7</v>
      </c>
      <c r="C28" s="10">
        <v>123000</v>
      </c>
      <c r="D28" s="10">
        <f t="shared" si="14"/>
        <v>61500</v>
      </c>
      <c r="E28" s="10">
        <f t="shared" si="15"/>
        <v>61500</v>
      </c>
      <c r="F28" s="13"/>
    </row>
    <row r="29" spans="1:6" x14ac:dyDescent="0.25">
      <c r="A29" s="3">
        <v>46135</v>
      </c>
      <c r="B29" s="49">
        <v>8</v>
      </c>
      <c r="C29" s="10">
        <v>130000</v>
      </c>
      <c r="D29" s="10">
        <f t="shared" si="14"/>
        <v>65000</v>
      </c>
      <c r="E29" s="10">
        <f t="shared" si="15"/>
        <v>65000</v>
      </c>
      <c r="F29" s="13"/>
    </row>
    <row r="30" spans="1:6" x14ac:dyDescent="0.25">
      <c r="A30" s="3">
        <v>46136</v>
      </c>
      <c r="B30" s="49">
        <v>6</v>
      </c>
      <c r="C30" s="10">
        <v>99000</v>
      </c>
      <c r="D30" s="10">
        <f t="shared" si="14"/>
        <v>49500</v>
      </c>
      <c r="E30" s="10">
        <f t="shared" si="15"/>
        <v>49500</v>
      </c>
      <c r="F30" s="13"/>
    </row>
    <row r="31" spans="1:6" x14ac:dyDescent="0.25">
      <c r="A31" s="3">
        <v>46137</v>
      </c>
      <c r="B31" s="49">
        <v>4</v>
      </c>
      <c r="C31" s="10">
        <v>76000</v>
      </c>
      <c r="D31" s="10">
        <f t="shared" si="14"/>
        <v>38000</v>
      </c>
      <c r="E31" s="10">
        <f t="shared" si="15"/>
        <v>38000</v>
      </c>
      <c r="F31" s="13"/>
    </row>
    <row r="32" spans="1:6" x14ac:dyDescent="0.25">
      <c r="A32" s="5" t="s">
        <v>5</v>
      </c>
      <c r="B32" s="53">
        <f>SUM(B26:B31)</f>
        <v>32</v>
      </c>
      <c r="C32" s="11">
        <f>SUM(C27:C31)</f>
        <v>545000</v>
      </c>
      <c r="D32" s="11">
        <f t="shared" ref="D32:E32" si="16">SUM(D27:D31)</f>
        <v>272500</v>
      </c>
      <c r="E32" s="11">
        <f t="shared" si="16"/>
        <v>272500</v>
      </c>
    </row>
    <row r="33" spans="1:5" x14ac:dyDescent="0.25">
      <c r="A33" s="4"/>
      <c r="B33" s="49"/>
      <c r="C33" s="10"/>
      <c r="D33" s="10"/>
      <c r="E33" s="10"/>
    </row>
    <row r="34" spans="1:5" x14ac:dyDescent="0.25">
      <c r="A34" s="4" t="s">
        <v>4</v>
      </c>
      <c r="B34" s="49"/>
      <c r="C34" s="10"/>
      <c r="D34" s="10"/>
      <c r="E34" s="10"/>
    </row>
    <row r="35" spans="1:5" x14ac:dyDescent="0.25">
      <c r="A35" s="3">
        <v>46140</v>
      </c>
      <c r="B35" s="49">
        <v>7</v>
      </c>
      <c r="C35" s="10">
        <v>121000</v>
      </c>
      <c r="D35" s="10">
        <f t="shared" ref="D35:D38" si="17">+C35/2</f>
        <v>60500</v>
      </c>
      <c r="E35" s="10">
        <f t="shared" ref="E35:E38" si="18">+D35</f>
        <v>60500</v>
      </c>
    </row>
    <row r="36" spans="1:5" x14ac:dyDescent="0.25">
      <c r="A36" s="3">
        <v>46141</v>
      </c>
      <c r="B36" s="49">
        <v>4</v>
      </c>
      <c r="C36" s="10">
        <v>66000</v>
      </c>
      <c r="D36" s="10">
        <f t="shared" si="17"/>
        <v>33000</v>
      </c>
      <c r="E36" s="10">
        <f t="shared" si="18"/>
        <v>33000</v>
      </c>
    </row>
    <row r="37" spans="1:5" x14ac:dyDescent="0.25">
      <c r="A37" s="3">
        <v>46142</v>
      </c>
      <c r="B37" s="49">
        <v>8</v>
      </c>
      <c r="C37" s="10">
        <v>132000</v>
      </c>
      <c r="D37" s="10">
        <f t="shared" si="17"/>
        <v>66000</v>
      </c>
      <c r="E37" s="10">
        <f t="shared" si="18"/>
        <v>66000</v>
      </c>
    </row>
    <row r="38" spans="1:5" x14ac:dyDescent="0.25">
      <c r="A38" s="3"/>
      <c r="B38" s="49"/>
      <c r="C38" s="10"/>
      <c r="D38" s="10">
        <f t="shared" si="17"/>
        <v>0</v>
      </c>
      <c r="E38" s="10">
        <f t="shared" si="18"/>
        <v>0</v>
      </c>
    </row>
    <row r="39" spans="1:5" x14ac:dyDescent="0.25">
      <c r="A39" s="3"/>
      <c r="B39" s="49"/>
      <c r="C39" s="10"/>
      <c r="D39" s="10">
        <f t="shared" ref="D39" si="19">+C39/2</f>
        <v>0</v>
      </c>
      <c r="E39" s="10">
        <f t="shared" ref="E39" si="20">+D39</f>
        <v>0</v>
      </c>
    </row>
    <row r="40" spans="1:5" x14ac:dyDescent="0.25">
      <c r="A40" s="6" t="s">
        <v>5</v>
      </c>
      <c r="B40" s="53">
        <f>SUM(B34:B39)</f>
        <v>19</v>
      </c>
      <c r="C40" s="11">
        <f>SUM(C35:C39)</f>
        <v>319000</v>
      </c>
      <c r="D40" s="11">
        <f t="shared" ref="D40:E40" si="21">SUM(D35:D39)</f>
        <v>159500</v>
      </c>
      <c r="E40" s="11">
        <f t="shared" si="21"/>
        <v>159500</v>
      </c>
    </row>
  </sheetData>
  <mergeCells count="2">
    <mergeCell ref="O2:P2"/>
    <mergeCell ref="Q2:R2"/>
  </mergeCells>
  <conditionalFormatting sqref="O3:O7 Q3:Q7">
    <cfRule type="containsText" dxfId="5" priority="1" operator="containsText" text="no">
      <formula>NOT(ISERROR(SEARCH("no",O3)))</formula>
    </cfRule>
    <cfRule type="containsText" dxfId="4" priority="2" operator="containsText" text="si">
      <formula>NOT(ISERROR(SEARCH("si",O3)))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043E-022E-4876-B172-A2FAA7121AE5}">
  <dimension ref="A1:I40"/>
  <sheetViews>
    <sheetView topLeftCell="A7" zoomScaleNormal="60" zoomScaleSheetLayoutView="100" workbookViewId="0">
      <selection activeCell="F24" sqref="F24"/>
    </sheetView>
  </sheetViews>
  <sheetFormatPr baseColWidth="10" defaultColWidth="8.85546875" defaultRowHeight="15" x14ac:dyDescent="0.25"/>
  <cols>
    <col min="1" max="1" width="10" bestFit="1" customWidth="1"/>
    <col min="2" max="2" width="6" style="52" customWidth="1"/>
    <col min="3" max="3" width="16.7109375" customWidth="1"/>
    <col min="4" max="4" width="13" customWidth="1"/>
    <col min="5" max="7" width="14.28515625" customWidth="1"/>
    <col min="8" max="8" width="15.28515625" customWidth="1"/>
    <col min="9" max="9" width="14.85546875" customWidth="1"/>
  </cols>
  <sheetData>
    <row r="1" spans="1:9" x14ac:dyDescent="0.25">
      <c r="A1" s="66" t="s">
        <v>37</v>
      </c>
      <c r="B1" s="47" t="s">
        <v>29</v>
      </c>
      <c r="C1" s="1" t="s">
        <v>0</v>
      </c>
      <c r="D1" s="1" t="s">
        <v>10</v>
      </c>
      <c r="E1" s="1" t="s">
        <v>32</v>
      </c>
      <c r="F1" s="43" t="s">
        <v>27</v>
      </c>
    </row>
    <row r="2" spans="1:9" x14ac:dyDescent="0.25">
      <c r="A2" s="14" t="s">
        <v>1</v>
      </c>
      <c r="B2" s="48"/>
      <c r="C2" s="10"/>
      <c r="D2" s="10"/>
      <c r="E2" s="10"/>
      <c r="F2" s="26"/>
      <c r="H2" s="7" t="s">
        <v>5</v>
      </c>
      <c r="I2" s="10">
        <f>C8+C16+C24+C32+C40</f>
        <v>1526000</v>
      </c>
    </row>
    <row r="3" spans="1:9" x14ac:dyDescent="0.25">
      <c r="A3" s="3"/>
      <c r="B3" s="49"/>
      <c r="C3" s="10"/>
      <c r="D3" s="10">
        <f>+C3/2</f>
        <v>0</v>
      </c>
      <c r="E3" s="10">
        <f>+D3</f>
        <v>0</v>
      </c>
      <c r="F3" s="26"/>
      <c r="H3" s="7" t="s">
        <v>11</v>
      </c>
      <c r="I3" s="10">
        <f>D8+D16+D24+D32+D40</f>
        <v>763000</v>
      </c>
    </row>
    <row r="4" spans="1:9" x14ac:dyDescent="0.25">
      <c r="A4" s="3">
        <v>46113</v>
      </c>
      <c r="B4" s="49">
        <v>7</v>
      </c>
      <c r="C4" s="10">
        <v>114000</v>
      </c>
      <c r="D4" s="10">
        <f>+C4/2</f>
        <v>57000</v>
      </c>
      <c r="E4" s="10">
        <f>+D4</f>
        <v>57000</v>
      </c>
      <c r="F4" s="26">
        <v>99000</v>
      </c>
      <c r="H4" s="7" t="s">
        <v>33</v>
      </c>
      <c r="I4" s="10">
        <f>E8+E16+E24+E32+E40</f>
        <v>763000</v>
      </c>
    </row>
    <row r="5" spans="1:9" x14ac:dyDescent="0.25">
      <c r="A5" s="3">
        <v>46114</v>
      </c>
      <c r="B5" s="50"/>
      <c r="C5" s="10"/>
      <c r="D5" s="10">
        <f>+C5/2</f>
        <v>0</v>
      </c>
      <c r="E5" s="10">
        <f>+D5</f>
        <v>0</v>
      </c>
      <c r="F5" s="26"/>
    </row>
    <row r="6" spans="1:9" x14ac:dyDescent="0.25">
      <c r="A6" s="3">
        <v>46115</v>
      </c>
      <c r="B6" s="49"/>
      <c r="C6" s="10"/>
      <c r="D6" s="10">
        <f>+C6/2</f>
        <v>0</v>
      </c>
      <c r="E6" s="10">
        <f>+D6</f>
        <v>0</v>
      </c>
      <c r="F6" s="26"/>
      <c r="H6" s="7" t="s">
        <v>31</v>
      </c>
      <c r="I6" s="55">
        <f>+B8+B16+B24+B32+B40</f>
        <v>105</v>
      </c>
    </row>
    <row r="7" spans="1:9" x14ac:dyDescent="0.25">
      <c r="A7" s="3">
        <v>46116</v>
      </c>
      <c r="B7" s="49">
        <v>7</v>
      </c>
      <c r="C7" s="10">
        <v>104000</v>
      </c>
      <c r="D7" s="10">
        <f>+C7/2</f>
        <v>52000</v>
      </c>
      <c r="E7" s="10">
        <f>+D7</f>
        <v>52000</v>
      </c>
      <c r="F7" s="26">
        <v>86000</v>
      </c>
    </row>
    <row r="8" spans="1:9" x14ac:dyDescent="0.25">
      <c r="A8" s="5" t="s">
        <v>5</v>
      </c>
      <c r="B8" s="53">
        <f>SUM(B3:B7)</f>
        <v>14</v>
      </c>
      <c r="C8" s="11">
        <f>SUM(C2:C7)</f>
        <v>218000</v>
      </c>
      <c r="D8" s="11">
        <f>SUM(D2:D7)</f>
        <v>109000</v>
      </c>
      <c r="E8" s="11">
        <f>SUM(E2:E7)</f>
        <v>109000</v>
      </c>
      <c r="F8" s="42">
        <f>SUM(F3:F7)</f>
        <v>185000</v>
      </c>
    </row>
    <row r="9" spans="1:9" x14ac:dyDescent="0.25">
      <c r="A9" s="4"/>
      <c r="B9" s="49"/>
      <c r="C9" s="10"/>
      <c r="D9" s="10"/>
      <c r="E9" s="10"/>
      <c r="F9" s="26"/>
    </row>
    <row r="10" spans="1:9" x14ac:dyDescent="0.25">
      <c r="A10" s="3" t="s">
        <v>2</v>
      </c>
      <c r="B10" s="49"/>
      <c r="C10" s="10"/>
      <c r="D10" s="10"/>
      <c r="E10" s="10"/>
      <c r="F10" s="26"/>
    </row>
    <row r="11" spans="1:9" x14ac:dyDescent="0.25">
      <c r="A11" s="58">
        <v>46119</v>
      </c>
      <c r="B11" s="49">
        <v>6</v>
      </c>
      <c r="C11" s="10">
        <v>108000</v>
      </c>
      <c r="D11" s="10">
        <f t="shared" ref="D11:D14" si="0">+C11/2</f>
        <v>54000</v>
      </c>
      <c r="E11" s="10">
        <f t="shared" ref="E11:E14" si="1">+D11</f>
        <v>54000</v>
      </c>
      <c r="F11" s="26"/>
      <c r="I11" s="13"/>
    </row>
    <row r="12" spans="1:9" x14ac:dyDescent="0.25">
      <c r="A12" s="58">
        <v>46120</v>
      </c>
      <c r="B12" s="49">
        <v>6</v>
      </c>
      <c r="C12" s="10">
        <v>81000</v>
      </c>
      <c r="D12" s="10">
        <f t="shared" si="0"/>
        <v>40500</v>
      </c>
      <c r="E12" s="10">
        <f t="shared" si="1"/>
        <v>40500</v>
      </c>
      <c r="F12" s="26"/>
    </row>
    <row r="13" spans="1:9" x14ac:dyDescent="0.25">
      <c r="A13" s="58">
        <v>46121</v>
      </c>
      <c r="B13" s="49">
        <v>7</v>
      </c>
      <c r="C13" s="10">
        <v>98000</v>
      </c>
      <c r="D13" s="10">
        <f>+C13/2</f>
        <v>49000</v>
      </c>
      <c r="E13" s="10">
        <f>+D13</f>
        <v>49000</v>
      </c>
      <c r="F13" s="26"/>
    </row>
    <row r="14" spans="1:9" x14ac:dyDescent="0.25">
      <c r="A14" s="58">
        <v>46122</v>
      </c>
      <c r="B14" s="49">
        <v>5</v>
      </c>
      <c r="C14" s="10">
        <v>83000</v>
      </c>
      <c r="D14" s="10">
        <f t="shared" si="0"/>
        <v>41500</v>
      </c>
      <c r="E14" s="10">
        <f t="shared" si="1"/>
        <v>41500</v>
      </c>
      <c r="F14" s="26"/>
    </row>
    <row r="15" spans="1:9" x14ac:dyDescent="0.25">
      <c r="A15" s="58">
        <v>46123</v>
      </c>
      <c r="B15" s="49">
        <v>6</v>
      </c>
      <c r="C15" s="10">
        <v>98000</v>
      </c>
      <c r="D15" s="10">
        <f>+C15/2</f>
        <v>49000</v>
      </c>
      <c r="E15" s="10">
        <f>+D15</f>
        <v>49000</v>
      </c>
      <c r="F15" s="26"/>
    </row>
    <row r="16" spans="1:9" x14ac:dyDescent="0.25">
      <c r="A16" s="6" t="s">
        <v>5</v>
      </c>
      <c r="B16" s="53">
        <f>SUM(B11:B15)</f>
        <v>30</v>
      </c>
      <c r="C16" s="11">
        <f>SUM(C11:C15)</f>
        <v>468000</v>
      </c>
      <c r="D16" s="11">
        <f>SUM(D11:D15)</f>
        <v>234000</v>
      </c>
      <c r="E16" s="11">
        <f>SUM(E11:E15)</f>
        <v>234000</v>
      </c>
      <c r="F16" s="42">
        <f>SUM(F11:F15)</f>
        <v>0</v>
      </c>
    </row>
    <row r="17" spans="1:7" x14ac:dyDescent="0.25">
      <c r="A17" s="6"/>
      <c r="B17" s="51"/>
      <c r="C17" s="10"/>
      <c r="D17" s="10"/>
      <c r="E17" s="10"/>
      <c r="F17" s="26"/>
    </row>
    <row r="18" spans="1:7" x14ac:dyDescent="0.25">
      <c r="A18" s="6" t="s">
        <v>9</v>
      </c>
      <c r="B18" s="51"/>
      <c r="C18" s="10"/>
      <c r="D18" s="10"/>
      <c r="E18" s="10"/>
      <c r="F18" s="26"/>
    </row>
    <row r="19" spans="1:7" x14ac:dyDescent="0.25">
      <c r="A19" s="3">
        <v>46126</v>
      </c>
      <c r="B19" s="49">
        <v>6</v>
      </c>
      <c r="C19" s="10">
        <v>88000</v>
      </c>
      <c r="D19" s="10">
        <f>+C19/2</f>
        <v>44000</v>
      </c>
      <c r="E19" s="10">
        <f>+D19</f>
        <v>44000</v>
      </c>
      <c r="F19" s="26">
        <v>70000</v>
      </c>
    </row>
    <row r="20" spans="1:7" x14ac:dyDescent="0.25">
      <c r="A20" s="3">
        <v>46127</v>
      </c>
      <c r="B20" s="49">
        <v>3</v>
      </c>
      <c r="C20" s="10">
        <v>33000</v>
      </c>
      <c r="D20" s="10">
        <f t="shared" ref="D20" si="2">+C20/2</f>
        <v>16500</v>
      </c>
      <c r="E20" s="10">
        <f t="shared" ref="E20" si="3">+D20</f>
        <v>16500</v>
      </c>
      <c r="F20" s="26">
        <v>33000</v>
      </c>
    </row>
    <row r="21" spans="1:7" x14ac:dyDescent="0.25">
      <c r="A21" s="3">
        <v>46128</v>
      </c>
      <c r="B21" s="49">
        <v>4</v>
      </c>
      <c r="C21" s="10">
        <v>66000</v>
      </c>
      <c r="D21" s="10">
        <f>+C21/2</f>
        <v>33000</v>
      </c>
      <c r="E21" s="10">
        <f>+D21</f>
        <v>33000</v>
      </c>
      <c r="F21" s="26">
        <v>30000</v>
      </c>
    </row>
    <row r="22" spans="1:7" x14ac:dyDescent="0.25">
      <c r="A22" s="3">
        <v>46129</v>
      </c>
      <c r="B22" s="49">
        <v>7</v>
      </c>
      <c r="C22" s="10">
        <v>99000</v>
      </c>
      <c r="D22" s="10">
        <f>+C22/2</f>
        <v>49500</v>
      </c>
      <c r="E22" s="10">
        <f>+D22</f>
        <v>49500</v>
      </c>
      <c r="F22" s="26">
        <v>66000</v>
      </c>
    </row>
    <row r="23" spans="1:7" x14ac:dyDescent="0.25">
      <c r="A23" s="3">
        <v>46130</v>
      </c>
      <c r="B23" s="49">
        <v>2</v>
      </c>
      <c r="C23" s="10">
        <v>15000</v>
      </c>
      <c r="D23" s="10">
        <f>+C23/2</f>
        <v>7500</v>
      </c>
      <c r="E23" s="10">
        <f>+D23</f>
        <v>7500</v>
      </c>
      <c r="F23" s="26"/>
    </row>
    <row r="24" spans="1:7" x14ac:dyDescent="0.25">
      <c r="A24" s="5" t="s">
        <v>5</v>
      </c>
      <c r="B24" s="53">
        <f>SUM(B19:B23)</f>
        <v>22</v>
      </c>
      <c r="C24" s="11">
        <f>SUM(C19:C23)</f>
        <v>301000</v>
      </c>
      <c r="D24" s="11">
        <f>SUM(D19:D23)</f>
        <v>150500</v>
      </c>
      <c r="E24" s="11">
        <f>SUM(E19:E23)</f>
        <v>150500</v>
      </c>
      <c r="F24" s="42">
        <f>SUM(F19:F23)</f>
        <v>199000</v>
      </c>
    </row>
    <row r="25" spans="1:7" x14ac:dyDescent="0.25">
      <c r="A25" s="4"/>
      <c r="B25" s="49"/>
      <c r="C25" s="10"/>
      <c r="D25" s="10"/>
      <c r="E25" s="10"/>
      <c r="F25" s="26"/>
    </row>
    <row r="26" spans="1:7" x14ac:dyDescent="0.25">
      <c r="A26" s="4" t="s">
        <v>3</v>
      </c>
      <c r="B26" s="49"/>
      <c r="C26" s="10"/>
      <c r="D26" s="10"/>
      <c r="E26" s="10"/>
      <c r="F26" s="26"/>
    </row>
    <row r="27" spans="1:7" x14ac:dyDescent="0.25">
      <c r="A27" s="3">
        <v>46133</v>
      </c>
      <c r="B27" s="49">
        <v>4</v>
      </c>
      <c r="C27" s="10">
        <v>33000</v>
      </c>
      <c r="D27" s="10">
        <f>+C27/2</f>
        <v>16500</v>
      </c>
      <c r="E27" s="10">
        <f>+D27</f>
        <v>16500</v>
      </c>
      <c r="F27" s="26">
        <v>33000</v>
      </c>
      <c r="G27" s="13"/>
    </row>
    <row r="28" spans="1:7" x14ac:dyDescent="0.25">
      <c r="A28" s="3">
        <v>46134</v>
      </c>
      <c r="B28" s="49">
        <v>5</v>
      </c>
      <c r="C28" s="10">
        <v>81000</v>
      </c>
      <c r="D28" s="10">
        <f>+C28/2</f>
        <v>40500</v>
      </c>
      <c r="E28" s="10">
        <f>+D28</f>
        <v>40500</v>
      </c>
      <c r="F28" s="26">
        <v>81000</v>
      </c>
      <c r="G28" s="13"/>
    </row>
    <row r="29" spans="1:7" x14ac:dyDescent="0.25">
      <c r="A29" s="3">
        <v>46135</v>
      </c>
      <c r="B29" s="49">
        <v>4</v>
      </c>
      <c r="C29" s="10">
        <v>69000</v>
      </c>
      <c r="D29" s="10">
        <f>+C29/2</f>
        <v>34500</v>
      </c>
      <c r="E29" s="10">
        <f>+D29</f>
        <v>34500</v>
      </c>
      <c r="F29" s="26">
        <v>33000</v>
      </c>
      <c r="G29" s="13"/>
    </row>
    <row r="30" spans="1:7" x14ac:dyDescent="0.25">
      <c r="A30" s="3">
        <v>46136</v>
      </c>
      <c r="B30" s="49">
        <v>8</v>
      </c>
      <c r="C30" s="10">
        <v>96000</v>
      </c>
      <c r="D30" s="10">
        <f>+C30/2</f>
        <v>48000</v>
      </c>
      <c r="E30" s="10">
        <f>+D30</f>
        <v>48000</v>
      </c>
      <c r="F30" s="26">
        <v>81000</v>
      </c>
      <c r="G30" s="13"/>
    </row>
    <row r="31" spans="1:7" x14ac:dyDescent="0.25">
      <c r="A31" s="3">
        <v>46137</v>
      </c>
      <c r="B31" s="49">
        <v>3</v>
      </c>
      <c r="C31" s="10">
        <v>48000</v>
      </c>
      <c r="D31" s="10">
        <f>+C31/2</f>
        <v>24000</v>
      </c>
      <c r="E31" s="10">
        <f>+D31</f>
        <v>24000</v>
      </c>
      <c r="F31" s="26">
        <v>30000</v>
      </c>
      <c r="G31" s="13"/>
    </row>
    <row r="32" spans="1:7" x14ac:dyDescent="0.25">
      <c r="A32" s="5" t="s">
        <v>5</v>
      </c>
      <c r="B32" s="53">
        <f>SUM(B27:B31)</f>
        <v>24</v>
      </c>
      <c r="C32" s="11">
        <f>SUM(C27:C31)</f>
        <v>327000</v>
      </c>
      <c r="D32" s="11">
        <f>SUM(D27:D31)</f>
        <v>163500</v>
      </c>
      <c r="E32" s="11">
        <f>SUM(E27:E31)</f>
        <v>163500</v>
      </c>
      <c r="F32" s="42">
        <f>SUM(F27:F31)</f>
        <v>258000</v>
      </c>
    </row>
    <row r="33" spans="1:6" x14ac:dyDescent="0.25">
      <c r="A33" s="4"/>
      <c r="B33" s="49"/>
      <c r="C33" s="10"/>
      <c r="D33" s="10"/>
      <c r="E33" s="10"/>
      <c r="F33" s="26"/>
    </row>
    <row r="34" spans="1:6" x14ac:dyDescent="0.25">
      <c r="A34" s="4" t="s">
        <v>4</v>
      </c>
      <c r="B34" s="49"/>
      <c r="C34" s="10"/>
      <c r="D34" s="10"/>
      <c r="E34" s="10"/>
      <c r="F34" s="26"/>
    </row>
    <row r="35" spans="1:6" x14ac:dyDescent="0.25">
      <c r="A35" s="3">
        <v>46140</v>
      </c>
      <c r="B35" s="49">
        <v>3</v>
      </c>
      <c r="C35" s="10">
        <v>51000</v>
      </c>
      <c r="D35" s="10">
        <f t="shared" ref="D35:D37" si="4">+C35/2</f>
        <v>25500</v>
      </c>
      <c r="E35" s="10">
        <f t="shared" ref="E35:E37" si="5">+D35</f>
        <v>25500</v>
      </c>
      <c r="F35" s="26">
        <v>33000</v>
      </c>
    </row>
    <row r="36" spans="1:6" x14ac:dyDescent="0.25">
      <c r="A36" s="3">
        <v>46141</v>
      </c>
      <c r="B36" s="49">
        <v>4</v>
      </c>
      <c r="C36" s="10">
        <v>33000</v>
      </c>
      <c r="D36" s="10">
        <f t="shared" si="4"/>
        <v>16500</v>
      </c>
      <c r="E36" s="10">
        <f t="shared" si="5"/>
        <v>16500</v>
      </c>
      <c r="F36" s="26">
        <v>33000</v>
      </c>
    </row>
    <row r="37" spans="1:6" x14ac:dyDescent="0.25">
      <c r="A37" s="3">
        <v>46142</v>
      </c>
      <c r="B37" s="49">
        <v>8</v>
      </c>
      <c r="C37" s="10">
        <v>128000</v>
      </c>
      <c r="D37" s="10">
        <f t="shared" si="4"/>
        <v>64000</v>
      </c>
      <c r="E37" s="10">
        <f t="shared" si="5"/>
        <v>64000</v>
      </c>
      <c r="F37" s="26">
        <v>103000</v>
      </c>
    </row>
    <row r="38" spans="1:6" x14ac:dyDescent="0.25">
      <c r="A38" s="3"/>
      <c r="B38" s="49"/>
      <c r="C38" s="10"/>
      <c r="D38" s="10">
        <f t="shared" ref="D38" si="6">+C38/2</f>
        <v>0</v>
      </c>
      <c r="E38" s="10">
        <f t="shared" ref="E38" si="7">+D38</f>
        <v>0</v>
      </c>
      <c r="F38" s="26"/>
    </row>
    <row r="39" spans="1:6" x14ac:dyDescent="0.25">
      <c r="A39" s="3"/>
      <c r="B39" s="49"/>
      <c r="C39" s="10"/>
      <c r="D39" s="10">
        <f>+C39/2</f>
        <v>0</v>
      </c>
      <c r="E39" s="10">
        <f>+D39</f>
        <v>0</v>
      </c>
      <c r="F39" s="26"/>
    </row>
    <row r="40" spans="1:6" x14ac:dyDescent="0.25">
      <c r="A40" s="6" t="s">
        <v>5</v>
      </c>
      <c r="B40" s="53">
        <f>SUM(B35:B39)</f>
        <v>15</v>
      </c>
      <c r="C40" s="11">
        <f>SUM(C35:C39)</f>
        <v>212000</v>
      </c>
      <c r="D40" s="11">
        <f>SUM(D35:D39)</f>
        <v>106000</v>
      </c>
      <c r="E40" s="11">
        <f>SUM(E35:E39)</f>
        <v>106000</v>
      </c>
      <c r="F40" s="42">
        <f>SUM(F35:F39)</f>
        <v>169000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858D-4314-4469-AF7E-566CC6857766}">
  <dimension ref="A1:I47"/>
  <sheetViews>
    <sheetView zoomScaleNormal="100" workbookViewId="0">
      <selection activeCell="H63" sqref="H63"/>
    </sheetView>
  </sheetViews>
  <sheetFormatPr baseColWidth="10" defaultColWidth="10.7109375" defaultRowHeight="15" x14ac:dyDescent="0.25"/>
  <cols>
    <col min="1" max="1" width="10" bestFit="1" customWidth="1"/>
    <col min="2" max="2" width="4.42578125" customWidth="1"/>
    <col min="3" max="3" width="14.5703125" customWidth="1"/>
    <col min="4" max="4" width="13" customWidth="1"/>
    <col min="5" max="5" width="12.5703125" customWidth="1"/>
    <col min="6" max="6" width="11.85546875" customWidth="1"/>
    <col min="8" max="8" width="19" customWidth="1"/>
    <col min="9" max="9" width="17" customWidth="1"/>
  </cols>
  <sheetData>
    <row r="1" spans="1:9" x14ac:dyDescent="0.25">
      <c r="A1" s="66" t="s">
        <v>37</v>
      </c>
      <c r="B1" s="47" t="s">
        <v>29</v>
      </c>
      <c r="C1" s="1" t="s">
        <v>0</v>
      </c>
      <c r="D1" s="1" t="s">
        <v>10</v>
      </c>
      <c r="E1" s="1" t="s">
        <v>36</v>
      </c>
      <c r="F1" s="43" t="s">
        <v>27</v>
      </c>
    </row>
    <row r="2" spans="1:9" x14ac:dyDescent="0.25">
      <c r="A2" s="14" t="s">
        <v>1</v>
      </c>
      <c r="B2" s="48"/>
      <c r="C2" s="10"/>
      <c r="D2" s="10"/>
      <c r="E2" s="10"/>
      <c r="F2" s="26"/>
      <c r="H2" s="7" t="s">
        <v>5</v>
      </c>
      <c r="I2" s="10">
        <f>C8+C16+C24+C32+C40</f>
        <v>2511000</v>
      </c>
    </row>
    <row r="3" spans="1:9" x14ac:dyDescent="0.25">
      <c r="A3" s="3"/>
      <c r="B3" s="49"/>
      <c r="C3" s="10"/>
      <c r="D3" s="10">
        <f>+C3/2</f>
        <v>0</v>
      </c>
      <c r="E3" s="10">
        <f>+D3</f>
        <v>0</v>
      </c>
      <c r="F3" s="26"/>
      <c r="H3" s="7" t="s">
        <v>11</v>
      </c>
      <c r="I3" s="10">
        <f>D8+D16+D24+D32+D40</f>
        <v>1210500</v>
      </c>
    </row>
    <row r="4" spans="1:9" x14ac:dyDescent="0.25">
      <c r="A4" s="3">
        <v>46113</v>
      </c>
      <c r="B4" s="49">
        <v>12</v>
      </c>
      <c r="C4" s="10">
        <v>180000</v>
      </c>
      <c r="D4" s="10">
        <f>+C4/2</f>
        <v>90000</v>
      </c>
      <c r="E4" s="10">
        <f>+D4</f>
        <v>90000</v>
      </c>
      <c r="F4" s="26">
        <v>95000</v>
      </c>
      <c r="H4" s="7" t="s">
        <v>35</v>
      </c>
      <c r="I4" s="10">
        <f>E8+E16+E24+E32+E40</f>
        <v>1300500</v>
      </c>
    </row>
    <row r="5" spans="1:9" x14ac:dyDescent="0.25">
      <c r="A5" s="3">
        <v>46114</v>
      </c>
      <c r="B5" s="50">
        <v>6</v>
      </c>
      <c r="C5" s="10">
        <v>105000</v>
      </c>
      <c r="D5" s="10">
        <v>36300</v>
      </c>
      <c r="E5" s="10">
        <v>68700</v>
      </c>
      <c r="F5" s="26">
        <v>105000</v>
      </c>
    </row>
    <row r="6" spans="1:9" x14ac:dyDescent="0.25">
      <c r="A6" s="3">
        <v>46115</v>
      </c>
      <c r="B6" s="49">
        <v>9</v>
      </c>
      <c r="C6" s="10">
        <v>132000</v>
      </c>
      <c r="D6" s="10">
        <v>37200</v>
      </c>
      <c r="E6" s="10">
        <v>94800</v>
      </c>
      <c r="F6" s="26">
        <v>66000</v>
      </c>
      <c r="H6" s="7" t="s">
        <v>31</v>
      </c>
      <c r="I6" s="55">
        <f>+B8+B16+B24+B32+B40</f>
        <v>147</v>
      </c>
    </row>
    <row r="7" spans="1:9" x14ac:dyDescent="0.25">
      <c r="A7" s="3">
        <v>46116</v>
      </c>
      <c r="B7" s="49">
        <v>6</v>
      </c>
      <c r="C7" s="10">
        <v>112000</v>
      </c>
      <c r="D7" s="10">
        <f>+C7/2</f>
        <v>56000</v>
      </c>
      <c r="E7" s="10">
        <f>+D7</f>
        <v>56000</v>
      </c>
      <c r="F7" s="26">
        <v>112000</v>
      </c>
    </row>
    <row r="8" spans="1:9" x14ac:dyDescent="0.25">
      <c r="A8" s="5" t="s">
        <v>5</v>
      </c>
      <c r="B8" s="53">
        <f>SUM(B3:B7)</f>
        <v>33</v>
      </c>
      <c r="C8" s="11">
        <f>SUM(C2:C7)</f>
        <v>529000</v>
      </c>
      <c r="D8" s="11">
        <f>SUM(D2:D7)</f>
        <v>219500</v>
      </c>
      <c r="E8" s="11">
        <f>SUM(E2:E7)</f>
        <v>309500</v>
      </c>
      <c r="F8" s="42">
        <f>SUM(F3:F7)</f>
        <v>378000</v>
      </c>
    </row>
    <row r="9" spans="1:9" x14ac:dyDescent="0.25">
      <c r="A9" s="4"/>
      <c r="B9" s="49"/>
      <c r="C9" s="10"/>
      <c r="D9" s="10"/>
      <c r="E9" s="10"/>
      <c r="F9" s="26"/>
    </row>
    <row r="10" spans="1:9" x14ac:dyDescent="0.25">
      <c r="A10" s="3" t="s">
        <v>2</v>
      </c>
      <c r="B10" s="49"/>
      <c r="C10" s="10"/>
      <c r="D10" s="10"/>
      <c r="E10" s="10"/>
      <c r="F10" s="26"/>
    </row>
    <row r="11" spans="1:9" x14ac:dyDescent="0.25">
      <c r="A11" s="58">
        <v>46119</v>
      </c>
      <c r="B11" s="49">
        <v>4</v>
      </c>
      <c r="C11" s="10">
        <v>73000</v>
      </c>
      <c r="D11" s="10">
        <f>+C11/2</f>
        <v>36500</v>
      </c>
      <c r="E11" s="10">
        <f>+D11</f>
        <v>36500</v>
      </c>
      <c r="F11" s="26">
        <v>55000</v>
      </c>
      <c r="I11" s="13"/>
    </row>
    <row r="12" spans="1:9" x14ac:dyDescent="0.25">
      <c r="A12" s="58">
        <v>46120</v>
      </c>
      <c r="B12" s="49">
        <v>6</v>
      </c>
      <c r="C12" s="10">
        <v>108000</v>
      </c>
      <c r="D12" s="10">
        <f>+C12/2</f>
        <v>54000</v>
      </c>
      <c r="E12" s="10">
        <f>+D12</f>
        <v>54000</v>
      </c>
      <c r="F12" s="26">
        <v>75000</v>
      </c>
    </row>
    <row r="13" spans="1:9" x14ac:dyDescent="0.25">
      <c r="A13" s="58">
        <v>46121</v>
      </c>
      <c r="B13" s="49">
        <v>5</v>
      </c>
      <c r="C13" s="10">
        <v>91000</v>
      </c>
      <c r="D13" s="10">
        <f>+C13/2</f>
        <v>45500</v>
      </c>
      <c r="E13" s="10">
        <f>+D13</f>
        <v>45500</v>
      </c>
      <c r="F13" s="26">
        <v>58000</v>
      </c>
    </row>
    <row r="14" spans="1:9" x14ac:dyDescent="0.25">
      <c r="A14" s="58">
        <v>46122</v>
      </c>
      <c r="B14" s="49">
        <v>10</v>
      </c>
      <c r="C14" s="10">
        <v>165000</v>
      </c>
      <c r="D14" s="10">
        <f>+C14/2</f>
        <v>82500</v>
      </c>
      <c r="E14" s="10">
        <f>+D14</f>
        <v>82500</v>
      </c>
      <c r="F14" s="26">
        <v>105000</v>
      </c>
    </row>
    <row r="15" spans="1:9" x14ac:dyDescent="0.25">
      <c r="A15" s="58">
        <v>46123</v>
      </c>
      <c r="B15" s="49">
        <v>4</v>
      </c>
      <c r="C15" s="10">
        <v>70000</v>
      </c>
      <c r="D15" s="10">
        <f>+C15/2</f>
        <v>35000</v>
      </c>
      <c r="E15" s="10">
        <f>+D15</f>
        <v>35000</v>
      </c>
      <c r="F15" s="26">
        <v>30000</v>
      </c>
    </row>
    <row r="16" spans="1:9" x14ac:dyDescent="0.25">
      <c r="A16" s="6" t="s">
        <v>5</v>
      </c>
      <c r="B16" s="53">
        <f>SUM(B11:B15)</f>
        <v>29</v>
      </c>
      <c r="C16" s="11">
        <f>SUM(C11:C15)</f>
        <v>507000</v>
      </c>
      <c r="D16" s="11">
        <f>SUM(D11:D15)</f>
        <v>253500</v>
      </c>
      <c r="E16" s="11">
        <f>SUM(E11:E15)</f>
        <v>253500</v>
      </c>
      <c r="F16" s="42">
        <f>SUM(F11:F15)</f>
        <v>323000</v>
      </c>
    </row>
    <row r="17" spans="1:7" x14ac:dyDescent="0.25">
      <c r="A17" s="6"/>
      <c r="B17" s="51"/>
      <c r="C17" s="10"/>
      <c r="D17" s="10"/>
      <c r="E17" s="10"/>
      <c r="F17" s="26"/>
    </row>
    <row r="18" spans="1:7" x14ac:dyDescent="0.25">
      <c r="A18" s="6" t="s">
        <v>9</v>
      </c>
      <c r="B18" s="51"/>
      <c r="C18" s="10"/>
      <c r="D18" s="10"/>
      <c r="E18" s="10"/>
      <c r="F18" s="26"/>
    </row>
    <row r="19" spans="1:7" x14ac:dyDescent="0.25">
      <c r="A19" s="3">
        <v>46126</v>
      </c>
      <c r="B19" s="49">
        <v>5</v>
      </c>
      <c r="C19" s="10">
        <v>90000</v>
      </c>
      <c r="D19" s="10">
        <f>+C19/2</f>
        <v>45000</v>
      </c>
      <c r="E19" s="10">
        <f>+D19</f>
        <v>45000</v>
      </c>
      <c r="F19" s="26">
        <v>90000</v>
      </c>
    </row>
    <row r="20" spans="1:7" x14ac:dyDescent="0.25">
      <c r="A20" s="3">
        <v>46127</v>
      </c>
      <c r="B20" s="49">
        <v>2</v>
      </c>
      <c r="C20" s="10">
        <v>33000</v>
      </c>
      <c r="D20" s="10">
        <f>+C20/2</f>
        <v>16500</v>
      </c>
      <c r="E20" s="10">
        <f>+D20</f>
        <v>16500</v>
      </c>
      <c r="F20" s="26">
        <v>15000</v>
      </c>
    </row>
    <row r="21" spans="1:7" x14ac:dyDescent="0.25">
      <c r="A21" s="3">
        <v>46128</v>
      </c>
      <c r="B21" s="49">
        <v>8</v>
      </c>
      <c r="C21" s="10">
        <v>141000</v>
      </c>
      <c r="D21" s="10">
        <f>+C21/2</f>
        <v>70500</v>
      </c>
      <c r="E21" s="10">
        <f>+D21</f>
        <v>70500</v>
      </c>
      <c r="F21" s="26">
        <v>87000</v>
      </c>
    </row>
    <row r="22" spans="1:7" x14ac:dyDescent="0.25">
      <c r="A22" s="3">
        <v>46129</v>
      </c>
      <c r="B22" s="49">
        <v>11</v>
      </c>
      <c r="C22" s="10">
        <v>179000</v>
      </c>
      <c r="D22" s="10">
        <f>+C22/2</f>
        <v>89500</v>
      </c>
      <c r="E22" s="10">
        <f>+D22</f>
        <v>89500</v>
      </c>
      <c r="F22" s="26">
        <v>129000</v>
      </c>
    </row>
    <row r="23" spans="1:7" x14ac:dyDescent="0.25">
      <c r="A23" s="3">
        <v>46130</v>
      </c>
      <c r="B23" s="49">
        <v>6</v>
      </c>
      <c r="C23" s="10">
        <v>106000</v>
      </c>
      <c r="D23" s="10">
        <f>+C23/2</f>
        <v>53000</v>
      </c>
      <c r="E23" s="10">
        <f>+D23</f>
        <v>53000</v>
      </c>
      <c r="F23" s="26">
        <v>67000</v>
      </c>
    </row>
    <row r="24" spans="1:7" x14ac:dyDescent="0.25">
      <c r="A24" s="5" t="s">
        <v>5</v>
      </c>
      <c r="B24" s="53">
        <f>SUM(B19:B23)</f>
        <v>32</v>
      </c>
      <c r="C24" s="11">
        <f>SUM(C19:C23)</f>
        <v>549000</v>
      </c>
      <c r="D24" s="11">
        <f>SUM(D19:D23)</f>
        <v>274500</v>
      </c>
      <c r="E24" s="11">
        <f>SUM(E19:E23)</f>
        <v>274500</v>
      </c>
      <c r="F24" s="42">
        <f>SUM(F19:F23)</f>
        <v>388000</v>
      </c>
    </row>
    <row r="25" spans="1:7" x14ac:dyDescent="0.25">
      <c r="A25" s="4"/>
      <c r="B25" s="49"/>
      <c r="C25" s="10"/>
      <c r="D25" s="10"/>
      <c r="E25" s="10"/>
      <c r="F25" s="26"/>
    </row>
    <row r="26" spans="1:7" x14ac:dyDescent="0.25">
      <c r="A26" s="4" t="s">
        <v>3</v>
      </c>
      <c r="B26" s="49"/>
      <c r="C26" s="10"/>
      <c r="D26" s="10"/>
      <c r="E26" s="10"/>
      <c r="F26" s="26"/>
    </row>
    <row r="27" spans="1:7" x14ac:dyDescent="0.25">
      <c r="A27" s="3">
        <v>46133</v>
      </c>
      <c r="B27" s="49">
        <v>3</v>
      </c>
      <c r="C27" s="10">
        <v>48000</v>
      </c>
      <c r="D27" s="10">
        <f>+C27/2</f>
        <v>24000</v>
      </c>
      <c r="E27" s="10">
        <f>+D27</f>
        <v>24000</v>
      </c>
      <c r="F27" s="26">
        <v>48000</v>
      </c>
      <c r="G27" s="13"/>
    </row>
    <row r="28" spans="1:7" x14ac:dyDescent="0.25">
      <c r="A28" s="3">
        <v>46134</v>
      </c>
      <c r="B28" s="49">
        <v>4</v>
      </c>
      <c r="C28" s="10">
        <v>66000</v>
      </c>
      <c r="D28" s="10">
        <f>+C28/2</f>
        <v>33000</v>
      </c>
      <c r="E28" s="10">
        <f>+D28</f>
        <v>33000</v>
      </c>
      <c r="F28" s="26">
        <v>48000</v>
      </c>
      <c r="G28" s="13"/>
    </row>
    <row r="29" spans="1:7" x14ac:dyDescent="0.25">
      <c r="A29" s="3">
        <v>46135</v>
      </c>
      <c r="B29" s="49">
        <v>8</v>
      </c>
      <c r="C29" s="10">
        <v>140000</v>
      </c>
      <c r="D29" s="10">
        <f>+C29/2</f>
        <v>70000</v>
      </c>
      <c r="E29" s="10">
        <f>+D29</f>
        <v>70000</v>
      </c>
      <c r="F29" s="26">
        <v>54000</v>
      </c>
      <c r="G29" s="13"/>
    </row>
    <row r="30" spans="1:7" x14ac:dyDescent="0.25">
      <c r="A30" s="3">
        <v>46136</v>
      </c>
      <c r="B30" s="49">
        <v>7</v>
      </c>
      <c r="C30" s="10">
        <v>127000</v>
      </c>
      <c r="D30" s="10">
        <f>+C30/2</f>
        <v>63500</v>
      </c>
      <c r="E30" s="10">
        <f>+D30</f>
        <v>63500</v>
      </c>
      <c r="F30" s="26">
        <v>109000</v>
      </c>
      <c r="G30" s="13"/>
    </row>
    <row r="31" spans="1:7" x14ac:dyDescent="0.25">
      <c r="A31" s="3">
        <v>46137</v>
      </c>
      <c r="B31" s="49">
        <v>8</v>
      </c>
      <c r="C31" s="10">
        <v>127000</v>
      </c>
      <c r="D31" s="10">
        <f>+C31/2</f>
        <v>63500</v>
      </c>
      <c r="E31" s="10">
        <f>+D31</f>
        <v>63500</v>
      </c>
      <c r="F31" s="26">
        <v>109000</v>
      </c>
      <c r="G31" s="13"/>
    </row>
    <row r="32" spans="1:7" x14ac:dyDescent="0.25">
      <c r="A32" s="5" t="s">
        <v>5</v>
      </c>
      <c r="B32" s="53">
        <f>SUM(B27:B31)</f>
        <v>30</v>
      </c>
      <c r="C32" s="11">
        <f>SUM(C27:C31)</f>
        <v>508000</v>
      </c>
      <c r="D32" s="11">
        <f>SUM(D27:D31)</f>
        <v>254000</v>
      </c>
      <c r="E32" s="11">
        <f>SUM(E27:E31)</f>
        <v>254000</v>
      </c>
      <c r="F32" s="42">
        <f>SUM(F27:F31)</f>
        <v>368000</v>
      </c>
    </row>
    <row r="33" spans="1:7" x14ac:dyDescent="0.25">
      <c r="A33" s="4"/>
      <c r="B33" s="49"/>
      <c r="C33" s="10"/>
      <c r="D33" s="10"/>
      <c r="E33" s="10"/>
      <c r="F33" s="26"/>
    </row>
    <row r="34" spans="1:7" x14ac:dyDescent="0.25">
      <c r="A34" s="4" t="s">
        <v>4</v>
      </c>
      <c r="B34" s="49"/>
      <c r="C34" s="10"/>
      <c r="D34" s="10"/>
      <c r="E34" s="10"/>
      <c r="F34" s="26"/>
    </row>
    <row r="35" spans="1:7" x14ac:dyDescent="0.25">
      <c r="A35" s="3">
        <v>46140</v>
      </c>
      <c r="B35" s="49">
        <v>5</v>
      </c>
      <c r="C35" s="10">
        <v>88000</v>
      </c>
      <c r="D35" s="10">
        <f>+C35/2</f>
        <v>44000</v>
      </c>
      <c r="E35" s="10">
        <f>+D35</f>
        <v>44000</v>
      </c>
      <c r="F35" s="26">
        <v>73000</v>
      </c>
      <c r="G35" s="96"/>
    </row>
    <row r="36" spans="1:7" x14ac:dyDescent="0.25">
      <c r="A36" s="3">
        <v>46141</v>
      </c>
      <c r="B36" s="49">
        <v>7</v>
      </c>
      <c r="C36" s="10">
        <v>128000</v>
      </c>
      <c r="D36" s="10">
        <f>+C36/2</f>
        <v>64000</v>
      </c>
      <c r="E36" s="10">
        <f>+D36</f>
        <v>64000</v>
      </c>
      <c r="F36" s="26">
        <v>91000</v>
      </c>
      <c r="G36" s="96"/>
    </row>
    <row r="37" spans="1:7" x14ac:dyDescent="0.25">
      <c r="A37" s="3">
        <v>46142</v>
      </c>
      <c r="B37" s="49">
        <v>11</v>
      </c>
      <c r="C37" s="10">
        <v>202000</v>
      </c>
      <c r="D37" s="10">
        <f>+C37/2</f>
        <v>101000</v>
      </c>
      <c r="E37" s="10">
        <f>+D37</f>
        <v>101000</v>
      </c>
      <c r="F37" s="26">
        <v>161000</v>
      </c>
      <c r="G37" s="96"/>
    </row>
    <row r="38" spans="1:7" x14ac:dyDescent="0.25">
      <c r="A38" s="3"/>
      <c r="B38" s="49"/>
      <c r="C38" s="10"/>
      <c r="D38" s="10">
        <f>+C38/2</f>
        <v>0</v>
      </c>
      <c r="E38" s="10">
        <f>+D38</f>
        <v>0</v>
      </c>
      <c r="F38" s="26"/>
      <c r="G38" s="96"/>
    </row>
    <row r="39" spans="1:7" x14ac:dyDescent="0.25">
      <c r="A39" s="3"/>
      <c r="B39" s="49"/>
      <c r="C39" s="10"/>
      <c r="D39" s="10">
        <f>+C39/2</f>
        <v>0</v>
      </c>
      <c r="E39" s="10">
        <f>+D39</f>
        <v>0</v>
      </c>
      <c r="F39" s="26"/>
      <c r="G39" s="96"/>
    </row>
    <row r="40" spans="1:7" x14ac:dyDescent="0.25">
      <c r="A40" s="6" t="s">
        <v>5</v>
      </c>
      <c r="B40" s="53">
        <f>SUM(B35:B39)</f>
        <v>23</v>
      </c>
      <c r="C40" s="11">
        <f>SUM(C35:C39)</f>
        <v>418000</v>
      </c>
      <c r="D40" s="11">
        <f>SUM(D35:D39)</f>
        <v>209000</v>
      </c>
      <c r="E40" s="11">
        <f>SUM(E35:E39)</f>
        <v>209000</v>
      </c>
      <c r="F40" s="42">
        <f>SUM(F35:F39)</f>
        <v>325000</v>
      </c>
    </row>
    <row r="41" spans="1:7" x14ac:dyDescent="0.25">
      <c r="B41" s="52"/>
    </row>
    <row r="42" spans="1:7" x14ac:dyDescent="0.25">
      <c r="B42" s="52"/>
    </row>
    <row r="43" spans="1:7" x14ac:dyDescent="0.25">
      <c r="B43" s="52"/>
    </row>
    <row r="44" spans="1:7" x14ac:dyDescent="0.25">
      <c r="B44" s="52"/>
    </row>
    <row r="45" spans="1:7" x14ac:dyDescent="0.25">
      <c r="B45" s="52"/>
    </row>
    <row r="46" spans="1:7" x14ac:dyDescent="0.25">
      <c r="B46" s="52"/>
    </row>
    <row r="47" spans="1:7" x14ac:dyDescent="0.25">
      <c r="B47" s="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6EE1-3042-3B4D-8A89-20AE6635F985}">
  <dimension ref="A1:S40"/>
  <sheetViews>
    <sheetView topLeftCell="D1" zoomScaleNormal="100" zoomScaleSheetLayoutView="100" workbookViewId="0">
      <selection activeCell="I10" sqref="I10"/>
    </sheetView>
  </sheetViews>
  <sheetFormatPr baseColWidth="10" defaultColWidth="9.140625" defaultRowHeight="15" x14ac:dyDescent="0.25"/>
  <cols>
    <col min="1" max="1" width="10" bestFit="1" customWidth="1"/>
    <col min="2" max="2" width="6" style="52" customWidth="1"/>
    <col min="3" max="3" width="16.42578125" customWidth="1"/>
    <col min="4" max="4" width="14.7109375" customWidth="1"/>
    <col min="5" max="5" width="18.7109375" customWidth="1"/>
    <col min="6" max="6" width="10.140625" bestFit="1" customWidth="1"/>
    <col min="7" max="7" width="16.140625" bestFit="1" customWidth="1"/>
    <col min="8" max="8" width="12.7109375" bestFit="1" customWidth="1"/>
    <col min="9" max="9" width="11.140625" bestFit="1" customWidth="1"/>
    <col min="13" max="13" width="14.28515625" bestFit="1" customWidth="1"/>
    <col min="14" max="14" width="12.7109375" bestFit="1" customWidth="1"/>
    <col min="16" max="16" width="12.140625" bestFit="1" customWidth="1"/>
    <col min="18" max="18" width="12.140625" bestFit="1" customWidth="1"/>
    <col min="19" max="19" width="16.85546875" customWidth="1"/>
  </cols>
  <sheetData>
    <row r="1" spans="1:19" ht="15.75" thickBot="1" x14ac:dyDescent="0.3">
      <c r="A1" s="66" t="s">
        <v>37</v>
      </c>
      <c r="B1" s="47" t="s">
        <v>29</v>
      </c>
      <c r="C1" s="1" t="s">
        <v>0</v>
      </c>
      <c r="D1" s="1" t="s">
        <v>10</v>
      </c>
      <c r="E1" s="1" t="s">
        <v>67</v>
      </c>
      <c r="O1" s="97"/>
      <c r="Q1" s="97"/>
    </row>
    <row r="2" spans="1:19" x14ac:dyDescent="0.25">
      <c r="A2" s="14" t="s">
        <v>1</v>
      </c>
      <c r="B2" s="48"/>
      <c r="C2" s="10"/>
      <c r="D2" s="10"/>
      <c r="E2" s="10"/>
      <c r="G2" s="7" t="s">
        <v>5</v>
      </c>
      <c r="H2" s="10">
        <f>C8+C16+C24+C32+C40</f>
        <v>1595000</v>
      </c>
      <c r="K2" s="66" t="s">
        <v>51</v>
      </c>
      <c r="L2" s="47" t="s">
        <v>29</v>
      </c>
      <c r="M2" s="1" t="s">
        <v>0</v>
      </c>
      <c r="N2" s="1" t="s">
        <v>58</v>
      </c>
      <c r="O2" s="100" t="s">
        <v>52</v>
      </c>
      <c r="P2" s="101"/>
      <c r="Q2" s="100" t="s">
        <v>50</v>
      </c>
      <c r="R2" s="101"/>
      <c r="S2" s="84" t="s">
        <v>108</v>
      </c>
    </row>
    <row r="3" spans="1:19" x14ac:dyDescent="0.25">
      <c r="A3" s="3"/>
      <c r="B3" s="49"/>
      <c r="C3" s="10"/>
      <c r="D3" s="10">
        <f t="shared" ref="D3:D7" si="0">+C3-E3</f>
        <v>0</v>
      </c>
      <c r="E3" s="10">
        <f>+C3*0.5</f>
        <v>0</v>
      </c>
      <c r="G3" s="7" t="s">
        <v>11</v>
      </c>
      <c r="H3" s="10">
        <f>D8+D16+D24+D32+D40</f>
        <v>822750</v>
      </c>
      <c r="I3" s="13"/>
      <c r="K3" s="3" t="s">
        <v>53</v>
      </c>
      <c r="L3" s="49">
        <f>+B8</f>
        <v>17</v>
      </c>
      <c r="M3" s="10">
        <f>+C8</f>
        <v>322000</v>
      </c>
      <c r="N3" s="10">
        <f>+M3*0.4</f>
        <v>128800</v>
      </c>
      <c r="O3" s="81" t="s">
        <v>91</v>
      </c>
      <c r="P3" s="26">
        <f>+IF(O3="si",+M3*0.05,0)</f>
        <v>16100</v>
      </c>
      <c r="Q3" s="83" t="s">
        <v>91</v>
      </c>
      <c r="R3" s="26">
        <f>+IF(Q3="si",+M3*0.05,0)</f>
        <v>16100</v>
      </c>
      <c r="S3" s="90">
        <f>+N3+P3+R3</f>
        <v>161000</v>
      </c>
    </row>
    <row r="4" spans="1:19" x14ac:dyDescent="0.25">
      <c r="A4" s="3">
        <v>46113</v>
      </c>
      <c r="B4" s="49">
        <v>5</v>
      </c>
      <c r="C4" s="10">
        <v>98000</v>
      </c>
      <c r="D4" s="10">
        <f t="shared" si="0"/>
        <v>49000</v>
      </c>
      <c r="E4" s="10">
        <f>+C4*0.5</f>
        <v>49000</v>
      </c>
      <c r="G4" s="7" t="s">
        <v>68</v>
      </c>
      <c r="H4" s="10">
        <f>E8+E16+E24+E32+E40</f>
        <v>772250</v>
      </c>
      <c r="K4" s="3" t="s">
        <v>54</v>
      </c>
      <c r="L4" s="91">
        <f>+B16</f>
        <v>24</v>
      </c>
      <c r="M4" s="10">
        <f>+C16</f>
        <v>417000</v>
      </c>
      <c r="N4" s="10">
        <f>+M4*0.4</f>
        <v>166800</v>
      </c>
      <c r="O4" s="81" t="s">
        <v>91</v>
      </c>
      <c r="P4" s="26">
        <f>+IF(O4="si",+M4*0.05,0)</f>
        <v>20850</v>
      </c>
      <c r="Q4" s="83" t="s">
        <v>91</v>
      </c>
      <c r="R4" s="26">
        <f>+IF(Q4="si",+M4*0.05,0)</f>
        <v>20850</v>
      </c>
      <c r="S4" s="90">
        <f>+N4+P4+R4</f>
        <v>208500</v>
      </c>
    </row>
    <row r="5" spans="1:19" x14ac:dyDescent="0.25">
      <c r="A5" s="3">
        <v>46114</v>
      </c>
      <c r="B5" s="50">
        <v>4</v>
      </c>
      <c r="C5" s="10">
        <v>69000</v>
      </c>
      <c r="D5" s="10">
        <f t="shared" si="0"/>
        <v>34500</v>
      </c>
      <c r="E5" s="10">
        <f>+C5*0.5</f>
        <v>34500</v>
      </c>
      <c r="K5" s="3" t="s">
        <v>55</v>
      </c>
      <c r="L5" s="91">
        <f>+B24</f>
        <v>20</v>
      </c>
      <c r="M5" s="10">
        <f>+C24</f>
        <v>351000</v>
      </c>
      <c r="N5" s="10">
        <f>+M5*0.4</f>
        <v>140400</v>
      </c>
      <c r="O5" s="81" t="s">
        <v>91</v>
      </c>
      <c r="P5" s="26">
        <f>+IF(O5="si",+M5*0.05,0)</f>
        <v>17550</v>
      </c>
      <c r="Q5" s="83" t="s">
        <v>91</v>
      </c>
      <c r="R5" s="26">
        <f>+IF(Q5="si",+M5*0.05,0)</f>
        <v>17550</v>
      </c>
      <c r="S5" s="90">
        <f>+N5+P5+R5</f>
        <v>175500</v>
      </c>
    </row>
    <row r="6" spans="1:19" x14ac:dyDescent="0.25">
      <c r="A6" s="3">
        <v>46115</v>
      </c>
      <c r="B6" s="49">
        <v>2</v>
      </c>
      <c r="C6" s="10">
        <v>36000</v>
      </c>
      <c r="D6" s="10">
        <f t="shared" si="0"/>
        <v>18000</v>
      </c>
      <c r="E6" s="10">
        <f>+C6*0.5</f>
        <v>18000</v>
      </c>
      <c r="G6" s="7" t="s">
        <v>31</v>
      </c>
      <c r="H6" s="54">
        <f>+B8+B16+B24+B32+B40</f>
        <v>90</v>
      </c>
      <c r="K6" s="3" t="s">
        <v>56</v>
      </c>
      <c r="L6" s="91">
        <f>+B32</f>
        <v>19</v>
      </c>
      <c r="M6" s="10">
        <f>+C32</f>
        <v>328000</v>
      </c>
      <c r="N6" s="10">
        <f>+M6*0.4</f>
        <v>131200</v>
      </c>
      <c r="O6" s="81" t="s">
        <v>91</v>
      </c>
      <c r="P6" s="26">
        <f>+IF(O6="si",+M6*0.05,0)</f>
        <v>16400</v>
      </c>
      <c r="Q6" s="83" t="s">
        <v>101</v>
      </c>
      <c r="R6" s="26">
        <f>+IF(Q6="si",+M6*0.05,0)</f>
        <v>0</v>
      </c>
      <c r="S6" s="90">
        <f>+N6+P6+R6</f>
        <v>147600</v>
      </c>
    </row>
    <row r="7" spans="1:19" x14ac:dyDescent="0.25">
      <c r="A7" s="3">
        <v>46116</v>
      </c>
      <c r="B7" s="49">
        <v>6</v>
      </c>
      <c r="C7" s="10">
        <v>119000</v>
      </c>
      <c r="D7" s="10">
        <f t="shared" si="0"/>
        <v>59500</v>
      </c>
      <c r="E7" s="10">
        <f>+C7*0.5</f>
        <v>59500</v>
      </c>
      <c r="H7" s="13"/>
      <c r="K7" s="3" t="s">
        <v>57</v>
      </c>
      <c r="L7" s="91">
        <f>+B40</f>
        <v>10</v>
      </c>
      <c r="M7" s="10">
        <f>+C40</f>
        <v>177000</v>
      </c>
      <c r="N7" s="10">
        <f>+M7*0.4</f>
        <v>70800</v>
      </c>
      <c r="O7" s="81" t="s">
        <v>91</v>
      </c>
      <c r="P7" s="26">
        <f>+IF(O7="si",+M7*0.05,0)</f>
        <v>8850</v>
      </c>
      <c r="Q7" s="83" t="s">
        <v>101</v>
      </c>
      <c r="R7" s="26">
        <f>+IF(Q7="si",+M7*0.05,0)</f>
        <v>0</v>
      </c>
      <c r="S7" s="90">
        <f>+N7+P7+R7</f>
        <v>79650</v>
      </c>
    </row>
    <row r="8" spans="1:19" ht="15.75" thickBot="1" x14ac:dyDescent="0.3">
      <c r="A8" s="5" t="s">
        <v>5</v>
      </c>
      <c r="B8" s="53">
        <f>SUM(B3:B7)</f>
        <v>17</v>
      </c>
      <c r="C8" s="11">
        <f>SUM(C2:C7)</f>
        <v>322000</v>
      </c>
      <c r="D8" s="11">
        <f>SUM(D2:D7)</f>
        <v>161000</v>
      </c>
      <c r="E8" s="11">
        <f>SUM(E2:E7)</f>
        <v>161000</v>
      </c>
      <c r="H8" s="13"/>
      <c r="K8" s="5" t="s">
        <v>8</v>
      </c>
      <c r="L8" s="85">
        <f t="shared" ref="L8:S8" si="1">SUM(L3:L7)</f>
        <v>90</v>
      </c>
      <c r="M8" s="85">
        <f t="shared" si="1"/>
        <v>1595000</v>
      </c>
      <c r="N8" s="85">
        <f t="shared" si="1"/>
        <v>638000</v>
      </c>
      <c r="O8" s="87">
        <f t="shared" si="1"/>
        <v>0</v>
      </c>
      <c r="P8" s="85">
        <f t="shared" si="1"/>
        <v>79750</v>
      </c>
      <c r="Q8" s="87">
        <f t="shared" si="1"/>
        <v>0</v>
      </c>
      <c r="R8" s="85">
        <f t="shared" si="1"/>
        <v>54500</v>
      </c>
      <c r="S8" s="85">
        <f t="shared" si="1"/>
        <v>772250</v>
      </c>
    </row>
    <row r="9" spans="1:19" ht="15.75" thickBot="1" x14ac:dyDescent="0.3">
      <c r="A9" s="4"/>
      <c r="B9" s="49"/>
      <c r="C9" s="10"/>
      <c r="D9" s="10"/>
      <c r="E9" s="10"/>
      <c r="H9" s="13"/>
      <c r="O9" s="97"/>
      <c r="Q9" s="97"/>
    </row>
    <row r="10" spans="1:19" x14ac:dyDescent="0.25">
      <c r="A10" s="3" t="s">
        <v>2</v>
      </c>
      <c r="B10" s="49"/>
      <c r="C10" s="10"/>
      <c r="D10" s="10"/>
      <c r="E10" s="10"/>
    </row>
    <row r="11" spans="1:19" x14ac:dyDescent="0.25">
      <c r="A11" s="58">
        <v>46119</v>
      </c>
      <c r="B11" s="49">
        <v>4</v>
      </c>
      <c r="C11" s="10">
        <v>69000</v>
      </c>
      <c r="D11" s="10">
        <f t="shared" ref="D11" si="2">+C11-E11</f>
        <v>34500</v>
      </c>
      <c r="E11" s="10">
        <f>+C11*0.5</f>
        <v>34500</v>
      </c>
      <c r="H11" s="13"/>
    </row>
    <row r="12" spans="1:19" x14ac:dyDescent="0.25">
      <c r="A12" s="58">
        <v>46120</v>
      </c>
      <c r="B12" s="49">
        <v>6</v>
      </c>
      <c r="C12" s="10">
        <v>105000</v>
      </c>
      <c r="D12" s="10">
        <f t="shared" ref="D12:D15" si="3">+C12-E12</f>
        <v>52500</v>
      </c>
      <c r="E12" s="10">
        <f>+C12*0.5</f>
        <v>52500</v>
      </c>
      <c r="H12" s="13"/>
    </row>
    <row r="13" spans="1:19" x14ac:dyDescent="0.25">
      <c r="A13" s="58">
        <v>46121</v>
      </c>
      <c r="B13" s="49">
        <v>4</v>
      </c>
      <c r="C13" s="10">
        <v>72000</v>
      </c>
      <c r="D13" s="10">
        <f t="shared" si="3"/>
        <v>36000</v>
      </c>
      <c r="E13" s="10">
        <f>+C13*0.5</f>
        <v>36000</v>
      </c>
      <c r="H13" s="13"/>
    </row>
    <row r="14" spans="1:19" x14ac:dyDescent="0.25">
      <c r="A14" s="58">
        <v>46122</v>
      </c>
      <c r="B14" s="49">
        <v>6</v>
      </c>
      <c r="C14" s="10">
        <v>102000</v>
      </c>
      <c r="D14" s="10">
        <f t="shared" si="3"/>
        <v>51000</v>
      </c>
      <c r="E14" s="10">
        <f>+C14*0.5</f>
        <v>51000</v>
      </c>
      <c r="H14" s="13"/>
    </row>
    <row r="15" spans="1:19" x14ac:dyDescent="0.25">
      <c r="A15" s="58">
        <v>46123</v>
      </c>
      <c r="B15" s="49">
        <v>4</v>
      </c>
      <c r="C15" s="10">
        <v>69000</v>
      </c>
      <c r="D15" s="10">
        <f t="shared" si="3"/>
        <v>34500</v>
      </c>
      <c r="E15" s="10">
        <f>+C15*0.5</f>
        <v>34500</v>
      </c>
    </row>
    <row r="16" spans="1:19" x14ac:dyDescent="0.25">
      <c r="A16" s="6" t="s">
        <v>5</v>
      </c>
      <c r="B16" s="53">
        <f>SUM(B11:B15)</f>
        <v>24</v>
      </c>
      <c r="C16" s="11">
        <f>SUM(C11:C15)</f>
        <v>417000</v>
      </c>
      <c r="D16" s="11">
        <f>SUM(D11:D15)</f>
        <v>208500</v>
      </c>
      <c r="E16" s="11">
        <f>SUM(E11:E15)</f>
        <v>208500</v>
      </c>
    </row>
    <row r="17" spans="1:5" x14ac:dyDescent="0.25">
      <c r="A17" s="6"/>
      <c r="B17" s="51"/>
      <c r="C17" s="10"/>
      <c r="D17" s="10"/>
      <c r="E17" s="10"/>
    </row>
    <row r="18" spans="1:5" x14ac:dyDescent="0.25">
      <c r="A18" s="6" t="s">
        <v>9</v>
      </c>
      <c r="B18" s="51"/>
      <c r="C18" s="10"/>
      <c r="D18" s="10"/>
      <c r="E18" s="10"/>
    </row>
    <row r="19" spans="1:5" x14ac:dyDescent="0.25">
      <c r="A19" s="3">
        <v>46126</v>
      </c>
      <c r="B19" s="49">
        <v>2</v>
      </c>
      <c r="C19" s="10">
        <v>33000</v>
      </c>
      <c r="D19" s="10">
        <f t="shared" ref="D19" si="4">+C19-E19</f>
        <v>16500</v>
      </c>
      <c r="E19" s="10">
        <f>+C19*0.5</f>
        <v>16500</v>
      </c>
    </row>
    <row r="20" spans="1:5" x14ac:dyDescent="0.25">
      <c r="A20" s="3">
        <v>46127</v>
      </c>
      <c r="B20" s="49">
        <v>5</v>
      </c>
      <c r="C20" s="10">
        <v>69000</v>
      </c>
      <c r="D20" s="10">
        <f t="shared" ref="D20:D23" si="5">+C20-E20</f>
        <v>34500</v>
      </c>
      <c r="E20" s="10">
        <f>+C20*0.5</f>
        <v>34500</v>
      </c>
    </row>
    <row r="21" spans="1:5" x14ac:dyDescent="0.25">
      <c r="A21" s="3">
        <v>46128</v>
      </c>
      <c r="B21" s="49">
        <v>3</v>
      </c>
      <c r="C21" s="10">
        <v>61000</v>
      </c>
      <c r="D21" s="10">
        <f t="shared" si="5"/>
        <v>30500</v>
      </c>
      <c r="E21" s="10">
        <f>+C21*0.5</f>
        <v>30500</v>
      </c>
    </row>
    <row r="22" spans="1:5" x14ac:dyDescent="0.25">
      <c r="A22" s="3">
        <v>46129</v>
      </c>
      <c r="B22" s="49">
        <v>4</v>
      </c>
      <c r="C22" s="10">
        <v>72000</v>
      </c>
      <c r="D22" s="10">
        <f t="shared" si="5"/>
        <v>36000</v>
      </c>
      <c r="E22" s="10">
        <f>+C22*0.5</f>
        <v>36000</v>
      </c>
    </row>
    <row r="23" spans="1:5" x14ac:dyDescent="0.25">
      <c r="A23" s="3">
        <v>46130</v>
      </c>
      <c r="B23" s="49">
        <v>6</v>
      </c>
      <c r="C23" s="10">
        <v>116000</v>
      </c>
      <c r="D23" s="10">
        <f t="shared" si="5"/>
        <v>58000</v>
      </c>
      <c r="E23" s="10">
        <f>+C23*0.5</f>
        <v>58000</v>
      </c>
    </row>
    <row r="24" spans="1:5" x14ac:dyDescent="0.25">
      <c r="A24" s="5" t="s">
        <v>5</v>
      </c>
      <c r="B24" s="53">
        <f>SUM(B19:B23)</f>
        <v>20</v>
      </c>
      <c r="C24" s="11">
        <f>SUM(C19:C23)</f>
        <v>351000</v>
      </c>
      <c r="D24" s="11">
        <f>SUM(D19:D23)</f>
        <v>175500</v>
      </c>
      <c r="E24" s="11">
        <f>SUM(E19:E23)</f>
        <v>175500</v>
      </c>
    </row>
    <row r="25" spans="1:5" x14ac:dyDescent="0.25">
      <c r="A25" s="4"/>
      <c r="B25" s="49"/>
      <c r="C25" s="10"/>
      <c r="D25" s="10"/>
      <c r="E25" s="10"/>
    </row>
    <row r="26" spans="1:5" x14ac:dyDescent="0.25">
      <c r="A26" s="4" t="s">
        <v>3</v>
      </c>
      <c r="B26" s="49"/>
      <c r="C26" s="10"/>
      <c r="D26" s="10"/>
      <c r="E26" s="10"/>
    </row>
    <row r="27" spans="1:5" x14ac:dyDescent="0.25">
      <c r="A27" s="3">
        <v>46133</v>
      </c>
      <c r="B27" s="49">
        <v>4</v>
      </c>
      <c r="C27" s="10">
        <v>60000</v>
      </c>
      <c r="D27" s="10">
        <f t="shared" ref="D27:D31" si="6">+C27-E27</f>
        <v>33000</v>
      </c>
      <c r="E27" s="10">
        <f>+C27*0.45</f>
        <v>27000</v>
      </c>
    </row>
    <row r="28" spans="1:5" x14ac:dyDescent="0.25">
      <c r="A28" s="3">
        <v>46134</v>
      </c>
      <c r="B28" s="49">
        <v>2</v>
      </c>
      <c r="C28" s="10">
        <v>33000</v>
      </c>
      <c r="D28" s="10">
        <f t="shared" si="6"/>
        <v>18150</v>
      </c>
      <c r="E28" s="10">
        <f>+C28*0.45</f>
        <v>14850</v>
      </c>
    </row>
    <row r="29" spans="1:5" x14ac:dyDescent="0.25">
      <c r="A29" s="3">
        <v>46135</v>
      </c>
      <c r="B29" s="49">
        <v>3</v>
      </c>
      <c r="C29" s="10">
        <v>54000</v>
      </c>
      <c r="D29" s="10">
        <f t="shared" si="6"/>
        <v>29700</v>
      </c>
      <c r="E29" s="10">
        <f>+C29*0.45</f>
        <v>24300</v>
      </c>
    </row>
    <row r="30" spans="1:5" x14ac:dyDescent="0.25">
      <c r="A30" s="3">
        <v>46136</v>
      </c>
      <c r="B30" s="49">
        <v>6</v>
      </c>
      <c r="C30" s="10">
        <v>108000</v>
      </c>
      <c r="D30" s="10">
        <f t="shared" si="6"/>
        <v>59400</v>
      </c>
      <c r="E30" s="10">
        <f>+C30*0.45</f>
        <v>48600</v>
      </c>
    </row>
    <row r="31" spans="1:5" x14ac:dyDescent="0.25">
      <c r="A31" s="3">
        <v>46137</v>
      </c>
      <c r="B31" s="49">
        <v>4</v>
      </c>
      <c r="C31" s="10">
        <v>73000</v>
      </c>
      <c r="D31" s="10">
        <f t="shared" si="6"/>
        <v>40150</v>
      </c>
      <c r="E31" s="10">
        <f>+C31*0.45</f>
        <v>32850</v>
      </c>
    </row>
    <row r="32" spans="1:5" x14ac:dyDescent="0.25">
      <c r="A32" s="5" t="s">
        <v>5</v>
      </c>
      <c r="B32" s="53">
        <f>SUM(B27:B31)</f>
        <v>19</v>
      </c>
      <c r="C32" s="11">
        <f>SUM(C27:C31)</f>
        <v>328000</v>
      </c>
      <c r="D32" s="11">
        <f>SUM(D27:D31)</f>
        <v>180400</v>
      </c>
      <c r="E32" s="11">
        <f>SUM(E27:E31)</f>
        <v>147600</v>
      </c>
    </row>
    <row r="33" spans="1:6" x14ac:dyDescent="0.25">
      <c r="A33" s="4"/>
      <c r="B33" s="49"/>
      <c r="C33" s="10"/>
      <c r="D33" s="10"/>
      <c r="E33" s="10"/>
    </row>
    <row r="34" spans="1:6" x14ac:dyDescent="0.25">
      <c r="A34" s="4" t="s">
        <v>4</v>
      </c>
      <c r="B34" s="49"/>
      <c r="C34" s="10"/>
      <c r="D34" s="10"/>
      <c r="E34" s="10"/>
    </row>
    <row r="35" spans="1:6" x14ac:dyDescent="0.25">
      <c r="A35" s="3">
        <v>46140</v>
      </c>
      <c r="B35" s="49">
        <v>3</v>
      </c>
      <c r="C35" s="10">
        <v>54000</v>
      </c>
      <c r="D35" s="10">
        <f t="shared" ref="D35:D37" si="7">+C35-E35</f>
        <v>29700</v>
      </c>
      <c r="E35" s="10">
        <f>+C35*0.45</f>
        <v>24300</v>
      </c>
      <c r="F35" s="98"/>
    </row>
    <row r="36" spans="1:6" x14ac:dyDescent="0.25">
      <c r="A36" s="3">
        <v>46141</v>
      </c>
      <c r="B36" s="49">
        <v>2</v>
      </c>
      <c r="C36" s="10">
        <v>36000</v>
      </c>
      <c r="D36" s="10">
        <f t="shared" si="7"/>
        <v>19800</v>
      </c>
      <c r="E36" s="10">
        <f>+C36*0.45</f>
        <v>16200</v>
      </c>
    </row>
    <row r="37" spans="1:6" x14ac:dyDescent="0.25">
      <c r="A37" s="3">
        <v>46142</v>
      </c>
      <c r="B37" s="49">
        <v>5</v>
      </c>
      <c r="C37" s="10">
        <v>87000</v>
      </c>
      <c r="D37" s="10">
        <f t="shared" si="7"/>
        <v>47850</v>
      </c>
      <c r="E37" s="10">
        <f>+C37*0.45</f>
        <v>39150</v>
      </c>
    </row>
    <row r="38" spans="1:6" x14ac:dyDescent="0.25">
      <c r="A38" s="3"/>
      <c r="B38" s="49"/>
      <c r="C38" s="44"/>
      <c r="D38" s="10">
        <f>C38*0.3</f>
        <v>0</v>
      </c>
      <c r="E38" s="10">
        <f>C38*0.7</f>
        <v>0</v>
      </c>
    </row>
    <row r="39" spans="1:6" x14ac:dyDescent="0.25">
      <c r="A39" s="3"/>
      <c r="B39" s="49"/>
      <c r="C39" s="10"/>
      <c r="D39" s="10">
        <f>C39*0.3</f>
        <v>0</v>
      </c>
      <c r="E39" s="10">
        <f>C39*0.7</f>
        <v>0</v>
      </c>
    </row>
    <row r="40" spans="1:6" x14ac:dyDescent="0.25">
      <c r="A40" s="6" t="s">
        <v>5</v>
      </c>
      <c r="B40" s="53">
        <f>SUM(B35:B39)</f>
        <v>10</v>
      </c>
      <c r="C40" s="11">
        <f>SUM(C35:C39)</f>
        <v>177000</v>
      </c>
      <c r="D40" s="11">
        <f>SUM(D35:D39)</f>
        <v>97350</v>
      </c>
      <c r="E40" s="11">
        <f>SUM(E35:E39)</f>
        <v>79650</v>
      </c>
    </row>
  </sheetData>
  <mergeCells count="2">
    <mergeCell ref="O2:P2"/>
    <mergeCell ref="Q2:R2"/>
  </mergeCells>
  <conditionalFormatting sqref="O3:O7 Q3:Q7">
    <cfRule type="containsText" dxfId="3" priority="1" operator="containsText" text="no">
      <formula>NOT(ISERROR(SEARCH("no",O3)))</formula>
    </cfRule>
    <cfRule type="containsText" dxfId="2" priority="2" operator="containsText" text="si">
      <formula>NOT(ISERROR(SEARCH("si",O3)))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04FD-3C79-48CD-84F7-574E4EE0D2BC}">
  <dimension ref="A1:S40"/>
  <sheetViews>
    <sheetView topLeftCell="A14" zoomScaleNormal="100" workbookViewId="0">
      <selection activeCell="A34" sqref="A34"/>
    </sheetView>
  </sheetViews>
  <sheetFormatPr baseColWidth="10" defaultColWidth="10.7109375" defaultRowHeight="15" x14ac:dyDescent="0.25"/>
  <cols>
    <col min="1" max="1" width="10" bestFit="1" customWidth="1"/>
    <col min="2" max="2" width="6" style="52" customWidth="1"/>
    <col min="3" max="3" width="16.7109375" customWidth="1"/>
    <col min="4" max="4" width="13" customWidth="1"/>
    <col min="5" max="7" width="14.28515625" customWidth="1"/>
    <col min="8" max="8" width="15.28515625" customWidth="1"/>
    <col min="9" max="9" width="14.85546875" customWidth="1"/>
    <col min="11" max="11" width="13.85546875" customWidth="1"/>
    <col min="12" max="12" width="7.85546875" bestFit="1" customWidth="1"/>
    <col min="13" max="13" width="17.28515625" customWidth="1"/>
    <col min="14" max="14" width="11.85546875" customWidth="1"/>
    <col min="15" max="15" width="14.42578125" customWidth="1"/>
    <col min="16" max="17" width="15.5703125" customWidth="1"/>
    <col min="18" max="18" width="12.85546875" customWidth="1"/>
    <col min="19" max="19" width="14.42578125" customWidth="1"/>
  </cols>
  <sheetData>
    <row r="1" spans="1:19" ht="15.75" thickBot="1" x14ac:dyDescent="0.3">
      <c r="A1" s="66" t="s">
        <v>37</v>
      </c>
      <c r="B1" s="47" t="s">
        <v>29</v>
      </c>
      <c r="C1" s="1" t="s">
        <v>0</v>
      </c>
      <c r="D1" s="1" t="s">
        <v>10</v>
      </c>
      <c r="E1" s="1" t="s">
        <v>93</v>
      </c>
      <c r="F1" s="43" t="s">
        <v>27</v>
      </c>
      <c r="O1" s="86"/>
      <c r="Q1" s="86"/>
    </row>
    <row r="2" spans="1:19" x14ac:dyDescent="0.25">
      <c r="A2" s="14" t="s">
        <v>1</v>
      </c>
      <c r="B2" s="48"/>
      <c r="C2" s="10"/>
      <c r="D2" s="10"/>
      <c r="E2" s="10"/>
      <c r="F2" s="26"/>
      <c r="H2" s="7" t="s">
        <v>5</v>
      </c>
      <c r="I2" s="10">
        <f>C8+C16+C24+C32+C40</f>
        <v>1685000</v>
      </c>
      <c r="K2" s="66" t="s">
        <v>51</v>
      </c>
      <c r="L2" s="47" t="s">
        <v>29</v>
      </c>
      <c r="M2" s="1" t="s">
        <v>0</v>
      </c>
      <c r="N2" s="1" t="s">
        <v>58</v>
      </c>
      <c r="O2" s="100" t="s">
        <v>52</v>
      </c>
      <c r="P2" s="101"/>
      <c r="Q2" s="100" t="s">
        <v>50</v>
      </c>
      <c r="R2" s="101"/>
      <c r="S2" s="84" t="s">
        <v>107</v>
      </c>
    </row>
    <row r="3" spans="1:19" x14ac:dyDescent="0.25">
      <c r="A3" s="3"/>
      <c r="B3" s="49"/>
      <c r="C3" s="10"/>
      <c r="D3" s="10">
        <f>+C3-E3</f>
        <v>0</v>
      </c>
      <c r="E3" s="10">
        <f>+C3*0.45</f>
        <v>0</v>
      </c>
      <c r="F3" s="26"/>
      <c r="H3" s="7" t="s">
        <v>11</v>
      </c>
      <c r="I3" s="10">
        <f>D8+D16+D24+D32+D40</f>
        <v>866800</v>
      </c>
      <c r="K3" s="3" t="s">
        <v>53</v>
      </c>
      <c r="L3" s="49">
        <f>+B8</f>
        <v>15</v>
      </c>
      <c r="M3" s="10">
        <f>+C8</f>
        <v>257000</v>
      </c>
      <c r="N3" s="10">
        <f>+M3*0.4</f>
        <v>102800</v>
      </c>
      <c r="O3" s="81" t="s">
        <v>91</v>
      </c>
      <c r="P3" s="26">
        <f>+IF(O3="si",+M3*0.05,0)</f>
        <v>12850</v>
      </c>
      <c r="Q3" s="83" t="s">
        <v>91</v>
      </c>
      <c r="R3" s="26">
        <f>+IF(Q3="si",+M3*0.05,0)</f>
        <v>12850</v>
      </c>
      <c r="S3" s="90">
        <f>+N3+P3+R3</f>
        <v>128500</v>
      </c>
    </row>
    <row r="4" spans="1:19" x14ac:dyDescent="0.25">
      <c r="A4" s="3">
        <v>46113</v>
      </c>
      <c r="B4" s="49">
        <v>4</v>
      </c>
      <c r="C4" s="10">
        <v>72000</v>
      </c>
      <c r="D4" s="10">
        <f t="shared" ref="D4:D7" si="0">+C4-E4</f>
        <v>36000</v>
      </c>
      <c r="E4" s="10">
        <f>+C4*0.5</f>
        <v>36000</v>
      </c>
      <c r="F4" s="26"/>
      <c r="H4" s="7" t="s">
        <v>106</v>
      </c>
      <c r="I4" s="10">
        <f>E8+E16+E24+E32+E40</f>
        <v>818200</v>
      </c>
      <c r="K4" s="3" t="s">
        <v>54</v>
      </c>
      <c r="L4" s="80">
        <f>+B16</f>
        <v>28</v>
      </c>
      <c r="M4" s="10">
        <f>+C16</f>
        <v>474000</v>
      </c>
      <c r="N4" s="10">
        <f>+M4*0.4</f>
        <v>189600</v>
      </c>
      <c r="O4" s="81" t="s">
        <v>91</v>
      </c>
      <c r="P4" s="26">
        <f>+IF(O4="si",+M4*0.05,0)</f>
        <v>23700</v>
      </c>
      <c r="Q4" s="82" t="s">
        <v>91</v>
      </c>
      <c r="R4" s="26">
        <f>+IF(Q4="si",+M4*0.05,0)</f>
        <v>23700</v>
      </c>
      <c r="S4" s="90">
        <f>+N4+P4+R4</f>
        <v>237000</v>
      </c>
    </row>
    <row r="5" spans="1:19" x14ac:dyDescent="0.25">
      <c r="A5" s="3">
        <v>46114</v>
      </c>
      <c r="B5" s="50">
        <v>5</v>
      </c>
      <c r="C5" s="10">
        <v>87000</v>
      </c>
      <c r="D5" s="10">
        <f t="shared" si="0"/>
        <v>43500</v>
      </c>
      <c r="E5" s="10">
        <f>+C5*0.5</f>
        <v>43500</v>
      </c>
      <c r="F5" s="26"/>
      <c r="K5" s="3" t="s">
        <v>55</v>
      </c>
      <c r="L5" s="80">
        <f>+B24</f>
        <v>28</v>
      </c>
      <c r="M5" s="10">
        <f>+C24</f>
        <v>468000</v>
      </c>
      <c r="N5" s="10">
        <f>+M5*0.4</f>
        <v>187200</v>
      </c>
      <c r="O5" s="81" t="s">
        <v>91</v>
      </c>
      <c r="P5" s="26">
        <f>+IF(O5="si",+M5*0.05,0)</f>
        <v>23400</v>
      </c>
      <c r="Q5" s="82" t="s">
        <v>91</v>
      </c>
      <c r="R5" s="26">
        <f>+IF(Q5="si",+M5*0.05,0)</f>
        <v>23400</v>
      </c>
      <c r="S5" s="90">
        <f>+N5+P5+R5</f>
        <v>234000</v>
      </c>
    </row>
    <row r="6" spans="1:19" x14ac:dyDescent="0.25">
      <c r="A6" s="3">
        <v>46115</v>
      </c>
      <c r="B6" s="49"/>
      <c r="C6" s="10"/>
      <c r="D6" s="10">
        <f t="shared" si="0"/>
        <v>0</v>
      </c>
      <c r="E6" s="10">
        <f>+C6*0.45</f>
        <v>0</v>
      </c>
      <c r="F6" s="26"/>
      <c r="H6" s="7" t="s">
        <v>31</v>
      </c>
      <c r="I6" s="55">
        <f>+B8+B16+B24+B32+B40</f>
        <v>98</v>
      </c>
      <c r="K6" s="3" t="s">
        <v>56</v>
      </c>
      <c r="L6" s="80">
        <f>+B32</f>
        <v>18</v>
      </c>
      <c r="M6" s="10">
        <f>+C32</f>
        <v>323000</v>
      </c>
      <c r="N6" s="10">
        <f>+M6*0.4</f>
        <v>129200</v>
      </c>
      <c r="O6" s="81" t="s">
        <v>91</v>
      </c>
      <c r="P6" s="26">
        <f>+IF(O6="si",+M6*0.05,0)</f>
        <v>16150</v>
      </c>
      <c r="Q6" s="82" t="s">
        <v>101</v>
      </c>
      <c r="R6" s="26">
        <f>+IF(Q6="si",+M6*0.05,0)</f>
        <v>0</v>
      </c>
      <c r="S6" s="90">
        <f>+N6+P6+R6</f>
        <v>145350</v>
      </c>
    </row>
    <row r="7" spans="1:19" x14ac:dyDescent="0.25">
      <c r="A7" s="3">
        <v>46116</v>
      </c>
      <c r="B7" s="49">
        <v>6</v>
      </c>
      <c r="C7" s="10">
        <v>98000</v>
      </c>
      <c r="D7" s="10">
        <f t="shared" si="0"/>
        <v>49000</v>
      </c>
      <c r="E7" s="10">
        <f>+C7*0.5</f>
        <v>49000</v>
      </c>
      <c r="F7" s="26"/>
      <c r="K7" s="3" t="s">
        <v>57</v>
      </c>
      <c r="L7" s="80">
        <f>+B40</f>
        <v>9</v>
      </c>
      <c r="M7" s="10">
        <f>+C40</f>
        <v>163000</v>
      </c>
      <c r="N7" s="10">
        <f>+M7*0.4</f>
        <v>65200</v>
      </c>
      <c r="O7" s="81" t="s">
        <v>91</v>
      </c>
      <c r="P7" s="26">
        <f>+IF(O7="si",+M7*0.05,0)</f>
        <v>8150</v>
      </c>
      <c r="Q7" s="82" t="s">
        <v>101</v>
      </c>
      <c r="R7" s="26">
        <f>+IF(Q7="si",+M7*0.05,0)</f>
        <v>0</v>
      </c>
      <c r="S7" s="90">
        <f>+N7+P7+R7</f>
        <v>73350</v>
      </c>
    </row>
    <row r="8" spans="1:19" ht="15.75" thickBot="1" x14ac:dyDescent="0.3">
      <c r="A8" s="5" t="s">
        <v>5</v>
      </c>
      <c r="B8" s="53">
        <f>SUM(B3:B7)</f>
        <v>15</v>
      </c>
      <c r="C8" s="11">
        <f>SUM(C2:C7)</f>
        <v>257000</v>
      </c>
      <c r="D8" s="11">
        <f t="shared" ref="D8" si="1">+C8-E8</f>
        <v>128500</v>
      </c>
      <c r="E8" s="11">
        <f>+S3</f>
        <v>128500</v>
      </c>
      <c r="F8" s="42">
        <f>SUM(F3:F7)</f>
        <v>0</v>
      </c>
      <c r="K8" s="5" t="s">
        <v>8</v>
      </c>
      <c r="L8" s="85">
        <f t="shared" ref="L8:S8" si="2">SUM(L3:L7)</f>
        <v>98</v>
      </c>
      <c r="M8" s="85">
        <f t="shared" si="2"/>
        <v>1685000</v>
      </c>
      <c r="N8" s="85">
        <f t="shared" si="2"/>
        <v>674000</v>
      </c>
      <c r="O8" s="87">
        <f t="shared" si="2"/>
        <v>0</v>
      </c>
      <c r="P8" s="85">
        <f t="shared" si="2"/>
        <v>84250</v>
      </c>
      <c r="Q8" s="87">
        <f>SUM(Q3:Q7)</f>
        <v>0</v>
      </c>
      <c r="R8" s="85">
        <f t="shared" si="2"/>
        <v>59950</v>
      </c>
      <c r="S8" s="85">
        <f t="shared" si="2"/>
        <v>818200</v>
      </c>
    </row>
    <row r="9" spans="1:19" ht="15.75" thickBot="1" x14ac:dyDescent="0.3">
      <c r="A9" s="4"/>
      <c r="B9" s="49"/>
      <c r="C9" s="10"/>
      <c r="D9" s="10"/>
      <c r="E9" s="10"/>
      <c r="F9" s="26"/>
      <c r="K9" s="79"/>
      <c r="L9" s="75"/>
      <c r="M9" s="13"/>
      <c r="N9" s="13"/>
      <c r="O9" s="88"/>
      <c r="P9" s="73"/>
      <c r="Q9" s="89"/>
    </row>
    <row r="10" spans="1:19" x14ac:dyDescent="0.25">
      <c r="A10" s="3" t="s">
        <v>2</v>
      </c>
      <c r="B10" s="49"/>
      <c r="C10" s="10"/>
      <c r="D10" s="10"/>
      <c r="E10" s="10"/>
      <c r="F10" s="26"/>
    </row>
    <row r="11" spans="1:19" x14ac:dyDescent="0.25">
      <c r="A11" s="58">
        <v>46119</v>
      </c>
      <c r="B11" s="49">
        <v>4</v>
      </c>
      <c r="C11" s="10">
        <v>66000</v>
      </c>
      <c r="D11" s="10">
        <f t="shared" ref="D11:D15" si="3">+C11-E11</f>
        <v>33000</v>
      </c>
      <c r="E11" s="10">
        <f>+C11*0.5</f>
        <v>33000</v>
      </c>
      <c r="F11" s="26"/>
      <c r="I11" s="13"/>
    </row>
    <row r="12" spans="1:19" x14ac:dyDescent="0.25">
      <c r="A12" s="58">
        <v>46120</v>
      </c>
      <c r="B12" s="49">
        <v>3</v>
      </c>
      <c r="C12" s="10">
        <v>51000</v>
      </c>
      <c r="D12" s="10">
        <f>+C12-E12</f>
        <v>25500</v>
      </c>
      <c r="E12" s="10">
        <f>+C12*0.5</f>
        <v>25500</v>
      </c>
      <c r="F12" s="26"/>
    </row>
    <row r="13" spans="1:19" x14ac:dyDescent="0.25">
      <c r="A13" s="58">
        <v>46121</v>
      </c>
      <c r="B13" s="49">
        <v>6</v>
      </c>
      <c r="C13" s="10">
        <v>99000</v>
      </c>
      <c r="D13" s="10">
        <f t="shared" si="3"/>
        <v>49500</v>
      </c>
      <c r="E13" s="10">
        <f>+C13*0.5</f>
        <v>49500</v>
      </c>
      <c r="F13" s="26"/>
      <c r="K13" s="70"/>
      <c r="L13" s="70"/>
      <c r="M13" s="70"/>
      <c r="N13" s="71"/>
    </row>
    <row r="14" spans="1:19" x14ac:dyDescent="0.25">
      <c r="A14" s="58">
        <v>46122</v>
      </c>
      <c r="B14" s="49">
        <v>8</v>
      </c>
      <c r="C14" s="10">
        <v>132000</v>
      </c>
      <c r="D14" s="10">
        <f t="shared" si="3"/>
        <v>66000</v>
      </c>
      <c r="E14" s="10">
        <f>+C14*0.5</f>
        <v>66000</v>
      </c>
      <c r="F14" s="26"/>
      <c r="J14" s="69"/>
      <c r="K14" s="13"/>
      <c r="L14" s="13"/>
      <c r="M14" s="13"/>
      <c r="N14" s="73"/>
    </row>
    <row r="15" spans="1:19" x14ac:dyDescent="0.25">
      <c r="A15" s="58">
        <v>46123</v>
      </c>
      <c r="B15" s="49">
        <v>7</v>
      </c>
      <c r="C15" s="10">
        <v>126000</v>
      </c>
      <c r="D15" s="10">
        <f t="shared" si="3"/>
        <v>63000</v>
      </c>
      <c r="E15" s="10">
        <f>+C15*0.5</f>
        <v>63000</v>
      </c>
      <c r="F15" s="26"/>
      <c r="I15" s="72"/>
      <c r="J15" s="69"/>
      <c r="K15" s="13"/>
      <c r="L15" s="13"/>
      <c r="M15" s="13"/>
      <c r="N15" s="73"/>
    </row>
    <row r="16" spans="1:19" x14ac:dyDescent="0.25">
      <c r="A16" s="6" t="s">
        <v>5</v>
      </c>
      <c r="B16" s="53">
        <f>SUM(B11:B15)</f>
        <v>28</v>
      </c>
      <c r="C16" s="11">
        <f>SUM(C11:C15)</f>
        <v>474000</v>
      </c>
      <c r="D16" s="11">
        <f t="shared" ref="D16:E16" si="4">SUM(D11:D15)</f>
        <v>237000</v>
      </c>
      <c r="E16" s="11">
        <f t="shared" si="4"/>
        <v>237000</v>
      </c>
      <c r="F16" s="42">
        <f>SUM(F11:F15)</f>
        <v>0</v>
      </c>
      <c r="I16" s="74"/>
      <c r="J16" s="75"/>
      <c r="K16" s="13"/>
      <c r="L16" s="13"/>
      <c r="M16" s="13"/>
      <c r="N16" s="73"/>
    </row>
    <row r="17" spans="1:14" x14ac:dyDescent="0.25">
      <c r="A17" s="6"/>
      <c r="B17" s="51"/>
      <c r="C17" s="10"/>
      <c r="D17" s="10"/>
      <c r="E17" s="10"/>
      <c r="F17" s="26"/>
      <c r="I17" s="74"/>
      <c r="J17" s="75"/>
      <c r="K17" s="13"/>
      <c r="L17" s="13"/>
      <c r="M17" s="13"/>
      <c r="N17" s="73"/>
    </row>
    <row r="18" spans="1:14" x14ac:dyDescent="0.25">
      <c r="A18" s="6" t="s">
        <v>9</v>
      </c>
      <c r="B18" s="51"/>
      <c r="C18" s="10"/>
      <c r="D18" s="10"/>
      <c r="E18" s="10"/>
      <c r="F18" s="26"/>
      <c r="I18" s="74"/>
      <c r="J18" s="75"/>
      <c r="K18" s="13"/>
      <c r="L18" s="13"/>
      <c r="M18" s="13"/>
      <c r="N18" s="73"/>
    </row>
    <row r="19" spans="1:14" x14ac:dyDescent="0.25">
      <c r="A19" s="3">
        <v>46126</v>
      </c>
      <c r="B19" s="49">
        <v>4</v>
      </c>
      <c r="C19" s="10">
        <v>76000</v>
      </c>
      <c r="D19" s="10">
        <f t="shared" ref="D19:D22" si="5">+C19-E19</f>
        <v>38000</v>
      </c>
      <c r="E19" s="10">
        <f>+C19*0.5</f>
        <v>38000</v>
      </c>
      <c r="F19" s="26"/>
      <c r="I19" s="74"/>
      <c r="J19" s="75"/>
      <c r="K19" s="13"/>
      <c r="L19" s="13"/>
      <c r="M19" s="13"/>
      <c r="N19" s="73"/>
    </row>
    <row r="20" spans="1:14" x14ac:dyDescent="0.25">
      <c r="A20" s="3">
        <v>46127</v>
      </c>
      <c r="B20" s="49">
        <v>5</v>
      </c>
      <c r="C20" s="10">
        <v>85000</v>
      </c>
      <c r="D20" s="10">
        <f t="shared" si="5"/>
        <v>42500</v>
      </c>
      <c r="E20" s="10">
        <f>+C20*0.5</f>
        <v>42500</v>
      </c>
      <c r="F20" s="26"/>
      <c r="I20" s="74"/>
      <c r="J20" s="75"/>
      <c r="K20" s="78"/>
      <c r="L20" s="78"/>
      <c r="M20" s="78"/>
      <c r="N20" s="73"/>
    </row>
    <row r="21" spans="1:14" x14ac:dyDescent="0.25">
      <c r="A21" s="3">
        <v>46128</v>
      </c>
      <c r="B21" s="49">
        <v>5</v>
      </c>
      <c r="C21" s="10">
        <v>84000</v>
      </c>
      <c r="D21" s="10">
        <f t="shared" si="5"/>
        <v>42000</v>
      </c>
      <c r="E21" s="10">
        <f>+C21*0.5</f>
        <v>42000</v>
      </c>
      <c r="F21" s="26"/>
      <c r="I21" s="76"/>
      <c r="J21" s="77"/>
      <c r="K21" s="13"/>
      <c r="L21" s="13"/>
      <c r="M21" s="13"/>
      <c r="N21" s="73"/>
    </row>
    <row r="22" spans="1:14" x14ac:dyDescent="0.25">
      <c r="A22" s="3">
        <v>46129</v>
      </c>
      <c r="B22" s="49">
        <v>7</v>
      </c>
      <c r="C22" s="10">
        <v>120000</v>
      </c>
      <c r="D22" s="10">
        <f t="shared" si="5"/>
        <v>60000</v>
      </c>
      <c r="E22" s="10">
        <f>+C22*0.5</f>
        <v>60000</v>
      </c>
      <c r="F22" s="26"/>
      <c r="I22" s="79"/>
      <c r="J22" s="75"/>
    </row>
    <row r="23" spans="1:14" x14ac:dyDescent="0.25">
      <c r="A23" s="3">
        <v>46130</v>
      </c>
      <c r="B23" s="49">
        <v>7</v>
      </c>
      <c r="C23" s="10">
        <v>103000</v>
      </c>
      <c r="D23" s="10">
        <f>+C23-E23</f>
        <v>51500</v>
      </c>
      <c r="E23" s="10">
        <f>+C23*0.5</f>
        <v>51500</v>
      </c>
      <c r="F23" s="26"/>
    </row>
    <row r="24" spans="1:14" x14ac:dyDescent="0.25">
      <c r="A24" s="5" t="s">
        <v>5</v>
      </c>
      <c r="B24" s="53">
        <f>SUM(B19:B23)</f>
        <v>28</v>
      </c>
      <c r="C24" s="11">
        <f>SUM(C19:C23)</f>
        <v>468000</v>
      </c>
      <c r="D24" s="11">
        <f t="shared" ref="D24:E24" si="6">SUM(D19:D23)</f>
        <v>234000</v>
      </c>
      <c r="E24" s="11">
        <f t="shared" si="6"/>
        <v>234000</v>
      </c>
      <c r="F24" s="42">
        <f>SUM(F19:F23)</f>
        <v>0</v>
      </c>
    </row>
    <row r="25" spans="1:14" x14ac:dyDescent="0.25">
      <c r="A25" s="4"/>
      <c r="B25" s="49"/>
      <c r="C25" s="10"/>
      <c r="D25" s="10"/>
      <c r="E25" s="10"/>
      <c r="F25" s="26"/>
    </row>
    <row r="26" spans="1:14" x14ac:dyDescent="0.25">
      <c r="A26" s="4" t="s">
        <v>3</v>
      </c>
      <c r="B26" s="49"/>
      <c r="C26" s="10"/>
      <c r="D26" s="10"/>
      <c r="E26" s="10"/>
      <c r="F26" s="26"/>
    </row>
    <row r="27" spans="1:14" x14ac:dyDescent="0.25">
      <c r="A27" s="3">
        <v>46133</v>
      </c>
      <c r="B27" s="49">
        <v>2</v>
      </c>
      <c r="C27" s="10">
        <v>36000</v>
      </c>
      <c r="D27" s="10">
        <f t="shared" ref="D27:D31" si="7">+C27-E27</f>
        <v>19800</v>
      </c>
      <c r="E27" s="10">
        <f>+C27*0.45</f>
        <v>16200</v>
      </c>
      <c r="F27" s="26"/>
      <c r="G27" s="13"/>
    </row>
    <row r="28" spans="1:14" x14ac:dyDescent="0.25">
      <c r="A28" s="3">
        <v>46134</v>
      </c>
      <c r="B28" s="49">
        <v>1</v>
      </c>
      <c r="C28" s="10">
        <v>15000</v>
      </c>
      <c r="D28" s="10">
        <f t="shared" si="7"/>
        <v>8250</v>
      </c>
      <c r="E28" s="10">
        <f>+C28*0.45</f>
        <v>6750</v>
      </c>
      <c r="F28" s="26"/>
      <c r="G28" s="13"/>
    </row>
    <row r="29" spans="1:14" x14ac:dyDescent="0.25">
      <c r="A29" s="3">
        <v>46135</v>
      </c>
      <c r="B29" s="49">
        <v>6</v>
      </c>
      <c r="C29" s="10">
        <v>109000</v>
      </c>
      <c r="D29" s="10">
        <f t="shared" si="7"/>
        <v>59950</v>
      </c>
      <c r="E29" s="10">
        <f>+C29*0.45</f>
        <v>49050</v>
      </c>
      <c r="F29" s="26"/>
      <c r="G29" s="13"/>
    </row>
    <row r="30" spans="1:14" x14ac:dyDescent="0.25">
      <c r="A30" s="3">
        <v>46136</v>
      </c>
      <c r="B30" s="49">
        <v>5</v>
      </c>
      <c r="C30" s="10">
        <v>94000</v>
      </c>
      <c r="D30" s="10">
        <f t="shared" ref="D30" si="8">+C30-E30</f>
        <v>51700</v>
      </c>
      <c r="E30" s="10">
        <f>+C30*0.45</f>
        <v>42300</v>
      </c>
      <c r="F30" s="26"/>
      <c r="G30" s="13"/>
    </row>
    <row r="31" spans="1:14" x14ac:dyDescent="0.25">
      <c r="A31" s="3">
        <v>46137</v>
      </c>
      <c r="B31" s="49">
        <v>4</v>
      </c>
      <c r="C31" s="10">
        <v>69000</v>
      </c>
      <c r="D31" s="10">
        <f t="shared" si="7"/>
        <v>37950</v>
      </c>
      <c r="E31" s="10">
        <f>+C31*0.45</f>
        <v>31050</v>
      </c>
      <c r="F31" s="26"/>
      <c r="G31" s="13"/>
    </row>
    <row r="32" spans="1:14" x14ac:dyDescent="0.25">
      <c r="A32" s="5" t="s">
        <v>5</v>
      </c>
      <c r="B32" s="53">
        <f>SUM(B27:B31)</f>
        <v>18</v>
      </c>
      <c r="C32" s="11">
        <f>SUM(C27:C31)</f>
        <v>323000</v>
      </c>
      <c r="D32" s="11">
        <f t="shared" ref="D32:E32" si="9">SUM(D27:D31)</f>
        <v>177650</v>
      </c>
      <c r="E32" s="11">
        <f t="shared" si="9"/>
        <v>145350</v>
      </c>
      <c r="F32" s="42">
        <f>SUM(F27:F31)</f>
        <v>0</v>
      </c>
    </row>
    <row r="33" spans="1:6" x14ac:dyDescent="0.25">
      <c r="A33" s="4"/>
      <c r="B33" s="49"/>
      <c r="C33" s="10"/>
      <c r="D33" s="10"/>
      <c r="E33" s="10"/>
      <c r="F33" s="26"/>
    </row>
    <row r="34" spans="1:6" x14ac:dyDescent="0.25">
      <c r="A34" s="4" t="s">
        <v>4</v>
      </c>
      <c r="B34" s="49"/>
      <c r="C34" s="10"/>
      <c r="D34" s="10"/>
      <c r="E34" s="10"/>
      <c r="F34" s="26"/>
    </row>
    <row r="35" spans="1:6" x14ac:dyDescent="0.25">
      <c r="A35" s="3">
        <v>46140</v>
      </c>
      <c r="B35" s="49">
        <v>2</v>
      </c>
      <c r="C35" s="10">
        <v>43000</v>
      </c>
      <c r="D35" s="10">
        <f t="shared" ref="D35:D36" si="10">+C35-E35</f>
        <v>23650</v>
      </c>
      <c r="E35" s="10">
        <f>+C35*0.45</f>
        <v>19350</v>
      </c>
      <c r="F35" s="26"/>
    </row>
    <row r="36" spans="1:6" x14ac:dyDescent="0.25">
      <c r="A36" s="3">
        <v>46141</v>
      </c>
      <c r="B36" s="49">
        <v>3</v>
      </c>
      <c r="C36" s="10">
        <v>51000</v>
      </c>
      <c r="D36" s="10">
        <f t="shared" si="10"/>
        <v>28050</v>
      </c>
      <c r="E36" s="10">
        <f>+C36*0.45</f>
        <v>22950</v>
      </c>
      <c r="F36" s="26"/>
    </row>
    <row r="37" spans="1:6" x14ac:dyDescent="0.25">
      <c r="A37" s="3">
        <v>46142</v>
      </c>
      <c r="B37" s="49">
        <v>4</v>
      </c>
      <c r="C37" s="10">
        <v>69000</v>
      </c>
      <c r="D37" s="10">
        <f t="shared" ref="D37:D39" si="11">+C37-E37</f>
        <v>37950</v>
      </c>
      <c r="E37" s="10">
        <f>+C37*0.45</f>
        <v>31050</v>
      </c>
      <c r="F37" s="26"/>
    </row>
    <row r="38" spans="1:6" x14ac:dyDescent="0.25">
      <c r="A38" s="3"/>
      <c r="B38" s="49"/>
      <c r="C38" s="10"/>
      <c r="D38" s="10">
        <f t="shared" si="11"/>
        <v>0</v>
      </c>
      <c r="E38" s="10">
        <f>+C38*0.45</f>
        <v>0</v>
      </c>
      <c r="F38" s="26"/>
    </row>
    <row r="39" spans="1:6" x14ac:dyDescent="0.25">
      <c r="A39" s="3"/>
      <c r="B39" s="49"/>
      <c r="C39" s="10"/>
      <c r="D39" s="10">
        <f t="shared" si="11"/>
        <v>0</v>
      </c>
      <c r="E39" s="10">
        <f>+C39*0.45</f>
        <v>0</v>
      </c>
      <c r="F39" s="26"/>
    </row>
    <row r="40" spans="1:6" x14ac:dyDescent="0.25">
      <c r="A40" s="6" t="s">
        <v>5</v>
      </c>
      <c r="B40" s="53">
        <f>SUM(B35:B39)</f>
        <v>9</v>
      </c>
      <c r="C40" s="11">
        <f>SUM(C35:C39)</f>
        <v>163000</v>
      </c>
      <c r="D40" s="11">
        <f t="shared" ref="D40:E40" si="12">SUM(D35:D39)</f>
        <v>89650</v>
      </c>
      <c r="E40" s="11">
        <f t="shared" si="12"/>
        <v>73350</v>
      </c>
      <c r="F40" s="42">
        <f>SUM(F35:F39)</f>
        <v>0</v>
      </c>
    </row>
  </sheetData>
  <mergeCells count="2">
    <mergeCell ref="O2:P2"/>
    <mergeCell ref="Q2:R2"/>
  </mergeCells>
  <conditionalFormatting sqref="O3:O7 Q3:Q7">
    <cfRule type="containsText" dxfId="1" priority="1" operator="containsText" text="no">
      <formula>NOT(ISERROR(SEARCH("no",O3)))</formula>
    </cfRule>
    <cfRule type="containsText" dxfId="0" priority="2" operator="containsText" text="si">
      <formula>NOT(ISERROR(SEARCH("si",O3)))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5068-CB6D-4BB1-92EE-0F44E18BF6FA}">
  <dimension ref="A1:G55"/>
  <sheetViews>
    <sheetView topLeftCell="A2" zoomScaleNormal="100" workbookViewId="0">
      <selection activeCell="C19" sqref="C19"/>
    </sheetView>
  </sheetViews>
  <sheetFormatPr baseColWidth="10" defaultColWidth="10.7109375" defaultRowHeight="15" x14ac:dyDescent="0.25"/>
  <cols>
    <col min="1" max="1" width="36" customWidth="1"/>
    <col min="3" max="3" width="13" customWidth="1"/>
    <col min="4" max="4" width="14.7109375" customWidth="1"/>
    <col min="5" max="5" width="13.7109375" customWidth="1"/>
  </cols>
  <sheetData>
    <row r="1" spans="1:7" x14ac:dyDescent="0.25">
      <c r="A1" s="102" t="s">
        <v>21</v>
      </c>
      <c r="B1" s="102"/>
      <c r="C1" s="102"/>
    </row>
    <row r="2" spans="1:7" x14ac:dyDescent="0.25">
      <c r="A2" s="103" t="s">
        <v>18</v>
      </c>
      <c r="B2" s="103" t="s">
        <v>19</v>
      </c>
      <c r="C2" s="103" t="s">
        <v>8</v>
      </c>
      <c r="E2" s="33" t="s">
        <v>8</v>
      </c>
    </row>
    <row r="3" spans="1:7" x14ac:dyDescent="0.25">
      <c r="A3" s="104"/>
      <c r="B3" s="104"/>
      <c r="C3" s="104"/>
      <c r="E3" s="32">
        <f>+SUM(C4:C52)</f>
        <v>4097493</v>
      </c>
    </row>
    <row r="4" spans="1:7" x14ac:dyDescent="0.25">
      <c r="A4" s="59" t="s">
        <v>49</v>
      </c>
      <c r="B4" s="60">
        <v>46118</v>
      </c>
      <c r="C4" s="61">
        <v>380000</v>
      </c>
      <c r="G4" s="68"/>
    </row>
    <row r="5" spans="1:7" x14ac:dyDescent="0.25">
      <c r="A5" s="59" t="s">
        <v>83</v>
      </c>
      <c r="B5" s="60">
        <v>46118</v>
      </c>
      <c r="C5" s="61">
        <v>50836</v>
      </c>
      <c r="E5" s="28"/>
    </row>
    <row r="6" spans="1:7" x14ac:dyDescent="0.25">
      <c r="A6" s="59" t="s">
        <v>46</v>
      </c>
      <c r="B6" s="60">
        <v>46118</v>
      </c>
      <c r="C6" s="61">
        <v>8300</v>
      </c>
    </row>
    <row r="7" spans="1:7" x14ac:dyDescent="0.25">
      <c r="A7" s="59" t="s">
        <v>47</v>
      </c>
      <c r="B7" s="60">
        <v>46118</v>
      </c>
      <c r="C7" s="61">
        <v>53122</v>
      </c>
    </row>
    <row r="8" spans="1:7" x14ac:dyDescent="0.25">
      <c r="A8" s="59" t="s">
        <v>59</v>
      </c>
      <c r="B8" s="60">
        <v>46118</v>
      </c>
      <c r="C8" s="61">
        <v>80000</v>
      </c>
    </row>
    <row r="9" spans="1:7" x14ac:dyDescent="0.25">
      <c r="A9" s="59" t="s">
        <v>60</v>
      </c>
      <c r="B9" s="60">
        <v>46118</v>
      </c>
      <c r="C9" s="61">
        <v>25000</v>
      </c>
    </row>
    <row r="10" spans="1:7" x14ac:dyDescent="0.25">
      <c r="A10" s="59" t="s">
        <v>61</v>
      </c>
      <c r="B10" s="60">
        <v>46118</v>
      </c>
      <c r="C10" s="61">
        <v>60000</v>
      </c>
    </row>
    <row r="11" spans="1:7" x14ac:dyDescent="0.25">
      <c r="A11" s="59" t="s">
        <v>62</v>
      </c>
      <c r="B11" s="60">
        <v>46118</v>
      </c>
      <c r="C11" s="61">
        <v>33300</v>
      </c>
    </row>
    <row r="12" spans="1:7" x14ac:dyDescent="0.25">
      <c r="A12" s="59" t="s">
        <v>64</v>
      </c>
      <c r="B12" s="60">
        <v>46118</v>
      </c>
      <c r="C12" s="61">
        <v>173100</v>
      </c>
    </row>
    <row r="13" spans="1:7" x14ac:dyDescent="0.25">
      <c r="A13" s="59" t="s">
        <v>79</v>
      </c>
      <c r="B13" s="60">
        <v>46118</v>
      </c>
      <c r="C13" s="61">
        <v>32150</v>
      </c>
    </row>
    <row r="14" spans="1:7" x14ac:dyDescent="0.25">
      <c r="A14" s="59" t="s">
        <v>72</v>
      </c>
      <c r="B14" s="60">
        <v>46118</v>
      </c>
      <c r="C14" s="61">
        <v>37300</v>
      </c>
    </row>
    <row r="15" spans="1:7" x14ac:dyDescent="0.25">
      <c r="A15" s="59" t="s">
        <v>84</v>
      </c>
      <c r="B15" s="60">
        <v>46118</v>
      </c>
      <c r="C15" s="61">
        <v>15238</v>
      </c>
    </row>
    <row r="16" spans="1:7" x14ac:dyDescent="0.25">
      <c r="A16" s="59" t="s">
        <v>48</v>
      </c>
      <c r="B16" s="60">
        <v>46118</v>
      </c>
      <c r="C16" s="61">
        <v>5000</v>
      </c>
    </row>
    <row r="17" spans="1:3" x14ac:dyDescent="0.25">
      <c r="A17" s="59" t="s">
        <v>45</v>
      </c>
      <c r="B17" s="60">
        <v>46118</v>
      </c>
      <c r="C17" s="61">
        <v>145361</v>
      </c>
    </row>
    <row r="18" spans="1:3" x14ac:dyDescent="0.25">
      <c r="A18" s="59" t="s">
        <v>63</v>
      </c>
      <c r="B18" s="60">
        <v>46125</v>
      </c>
      <c r="C18" s="61">
        <v>385229</v>
      </c>
    </row>
    <row r="19" spans="1:3" x14ac:dyDescent="0.25">
      <c r="A19" s="59" t="s">
        <v>66</v>
      </c>
      <c r="B19" s="60">
        <v>46127</v>
      </c>
      <c r="C19" s="61">
        <v>198700</v>
      </c>
    </row>
    <row r="20" spans="1:3" x14ac:dyDescent="0.25">
      <c r="A20" s="59" t="s">
        <v>80</v>
      </c>
      <c r="B20" s="60">
        <v>46118</v>
      </c>
      <c r="C20" s="61">
        <v>116705</v>
      </c>
    </row>
    <row r="21" spans="1:3" x14ac:dyDescent="0.25">
      <c r="A21" s="59" t="s">
        <v>73</v>
      </c>
      <c r="B21" s="60">
        <v>46118</v>
      </c>
      <c r="C21" s="61">
        <v>74400</v>
      </c>
    </row>
    <row r="22" spans="1:3" x14ac:dyDescent="0.25">
      <c r="A22" s="2" t="s">
        <v>74</v>
      </c>
      <c r="B22" s="31">
        <v>46118</v>
      </c>
      <c r="C22" s="26">
        <v>45900</v>
      </c>
    </row>
    <row r="23" spans="1:3" x14ac:dyDescent="0.25">
      <c r="A23" s="2" t="s">
        <v>75</v>
      </c>
      <c r="B23" s="31">
        <v>46118</v>
      </c>
      <c r="C23" s="26">
        <v>40000</v>
      </c>
    </row>
    <row r="24" spans="1:3" x14ac:dyDescent="0.25">
      <c r="A24" s="2" t="s">
        <v>76</v>
      </c>
      <c r="B24" s="31">
        <v>46118</v>
      </c>
      <c r="C24" s="26">
        <v>25700</v>
      </c>
    </row>
    <row r="25" spans="1:3" x14ac:dyDescent="0.25">
      <c r="A25" s="2" t="s">
        <v>77</v>
      </c>
      <c r="B25" s="31">
        <v>46118</v>
      </c>
      <c r="C25" s="26">
        <v>145000</v>
      </c>
    </row>
    <row r="26" spans="1:3" x14ac:dyDescent="0.25">
      <c r="A26" s="2" t="s">
        <v>78</v>
      </c>
      <c r="B26" s="31">
        <v>46118</v>
      </c>
      <c r="C26" s="26">
        <v>14150</v>
      </c>
    </row>
    <row r="27" spans="1:3" x14ac:dyDescent="0.25">
      <c r="A27" s="2" t="s">
        <v>81</v>
      </c>
      <c r="B27" s="31">
        <v>46118</v>
      </c>
      <c r="C27" s="26">
        <v>711302</v>
      </c>
    </row>
    <row r="28" spans="1:3" x14ac:dyDescent="0.25">
      <c r="A28" s="2" t="s">
        <v>82</v>
      </c>
      <c r="B28" s="31">
        <v>46118</v>
      </c>
      <c r="C28" s="26">
        <v>10300</v>
      </c>
    </row>
    <row r="29" spans="1:3" x14ac:dyDescent="0.25">
      <c r="A29" s="2" t="s">
        <v>85</v>
      </c>
      <c r="B29" s="31">
        <v>46118</v>
      </c>
      <c r="C29" s="26">
        <v>300000</v>
      </c>
    </row>
    <row r="30" spans="1:3" x14ac:dyDescent="0.25">
      <c r="A30" s="2" t="s">
        <v>86</v>
      </c>
      <c r="B30" s="31">
        <v>46118</v>
      </c>
      <c r="C30" s="26">
        <v>400000</v>
      </c>
    </row>
    <row r="31" spans="1:3" x14ac:dyDescent="0.25">
      <c r="A31" s="2" t="s">
        <v>87</v>
      </c>
      <c r="B31" s="31">
        <v>46118</v>
      </c>
      <c r="C31" s="26">
        <v>300000</v>
      </c>
    </row>
    <row r="32" spans="1:3" x14ac:dyDescent="0.25">
      <c r="A32" s="2" t="s">
        <v>90</v>
      </c>
      <c r="B32" s="31">
        <v>46118</v>
      </c>
      <c r="C32" s="26">
        <v>35000</v>
      </c>
    </row>
    <row r="33" spans="1:3" x14ac:dyDescent="0.25">
      <c r="A33" s="2" t="s">
        <v>92</v>
      </c>
      <c r="B33" s="31">
        <v>46119</v>
      </c>
      <c r="C33" s="26">
        <v>12000</v>
      </c>
    </row>
    <row r="34" spans="1:3" x14ac:dyDescent="0.25">
      <c r="A34" s="2" t="s">
        <v>94</v>
      </c>
      <c r="B34" s="31">
        <v>46125</v>
      </c>
      <c r="C34" s="26">
        <v>4500</v>
      </c>
    </row>
    <row r="35" spans="1:3" x14ac:dyDescent="0.25">
      <c r="A35" s="2" t="s">
        <v>95</v>
      </c>
      <c r="B35" s="31">
        <v>46131</v>
      </c>
      <c r="C35" s="26">
        <v>13500</v>
      </c>
    </row>
    <row r="36" spans="1:3" x14ac:dyDescent="0.25">
      <c r="A36" s="2" t="s">
        <v>96</v>
      </c>
      <c r="B36" s="31">
        <v>46133</v>
      </c>
      <c r="C36" s="26">
        <v>20000</v>
      </c>
    </row>
    <row r="37" spans="1:3" x14ac:dyDescent="0.25">
      <c r="A37" s="2" t="s">
        <v>97</v>
      </c>
      <c r="B37" s="31">
        <v>46133</v>
      </c>
      <c r="C37" s="26">
        <v>13500</v>
      </c>
    </row>
    <row r="38" spans="1:3" x14ac:dyDescent="0.25">
      <c r="A38" s="2" t="s">
        <v>98</v>
      </c>
      <c r="B38" s="31">
        <v>46133</v>
      </c>
      <c r="C38" s="26">
        <v>16000</v>
      </c>
    </row>
    <row r="39" spans="1:3" x14ac:dyDescent="0.25">
      <c r="A39" s="2" t="s">
        <v>99</v>
      </c>
      <c r="B39" s="31">
        <v>46135</v>
      </c>
      <c r="C39" s="26">
        <v>9000</v>
      </c>
    </row>
    <row r="40" spans="1:3" x14ac:dyDescent="0.25">
      <c r="A40" s="2" t="s">
        <v>100</v>
      </c>
      <c r="B40" s="31">
        <v>46140</v>
      </c>
      <c r="C40" s="26">
        <v>2500</v>
      </c>
    </row>
    <row r="41" spans="1:3" x14ac:dyDescent="0.25">
      <c r="A41" s="2" t="s">
        <v>102</v>
      </c>
      <c r="B41" s="31">
        <v>46140</v>
      </c>
      <c r="C41" s="26">
        <v>20850</v>
      </c>
    </row>
    <row r="42" spans="1:3" x14ac:dyDescent="0.25">
      <c r="A42" s="2" t="s">
        <v>94</v>
      </c>
      <c r="B42" s="31">
        <v>46140</v>
      </c>
      <c r="C42" s="26">
        <v>22050</v>
      </c>
    </row>
    <row r="43" spans="1:3" x14ac:dyDescent="0.25">
      <c r="A43" s="2" t="s">
        <v>103</v>
      </c>
      <c r="B43" s="31">
        <v>46140</v>
      </c>
      <c r="C43" s="26">
        <v>10000</v>
      </c>
    </row>
    <row r="44" spans="1:3" x14ac:dyDescent="0.25">
      <c r="A44" s="2" t="s">
        <v>104</v>
      </c>
      <c r="B44" s="31">
        <v>46144</v>
      </c>
      <c r="C44" s="26">
        <v>23000</v>
      </c>
    </row>
    <row r="45" spans="1:3" x14ac:dyDescent="0.25">
      <c r="A45" s="2" t="s">
        <v>95</v>
      </c>
      <c r="B45" s="31">
        <v>46146</v>
      </c>
      <c r="C45" s="26">
        <v>19500</v>
      </c>
    </row>
    <row r="46" spans="1:3" x14ac:dyDescent="0.25">
      <c r="A46" s="2" t="s">
        <v>105</v>
      </c>
      <c r="B46" s="31">
        <v>46146</v>
      </c>
      <c r="C46" s="26">
        <v>10000</v>
      </c>
    </row>
    <row r="47" spans="1:3" x14ac:dyDescent="0.25">
      <c r="A47" s="2"/>
      <c r="B47" s="31"/>
      <c r="C47" s="26"/>
    </row>
    <row r="48" spans="1:3" x14ac:dyDescent="0.25">
      <c r="A48" s="2"/>
      <c r="B48" s="31"/>
      <c r="C48" s="26"/>
    </row>
    <row r="49" spans="1:4" x14ac:dyDescent="0.25">
      <c r="A49" s="2"/>
      <c r="B49" s="31"/>
      <c r="C49" s="26"/>
    </row>
    <row r="50" spans="1:4" x14ac:dyDescent="0.25">
      <c r="A50" s="2"/>
      <c r="B50" s="31"/>
      <c r="C50" s="26"/>
    </row>
    <row r="51" spans="1:4" x14ac:dyDescent="0.25">
      <c r="A51" s="2"/>
      <c r="B51" s="31"/>
      <c r="C51" s="26"/>
    </row>
    <row r="52" spans="1:4" x14ac:dyDescent="0.25">
      <c r="A52" s="2"/>
      <c r="B52" s="31"/>
      <c r="C52" s="26"/>
      <c r="D52" s="27">
        <f>+SUM(C4:C52)</f>
        <v>4097493</v>
      </c>
    </row>
    <row r="53" spans="1:4" x14ac:dyDescent="0.25">
      <c r="B53" s="57"/>
    </row>
    <row r="54" spans="1:4" x14ac:dyDescent="0.25">
      <c r="B54" s="57"/>
    </row>
    <row r="55" spans="1:4" x14ac:dyDescent="0.25">
      <c r="B55" s="57"/>
    </row>
  </sheetData>
  <mergeCells count="4">
    <mergeCell ref="A1:C1"/>
    <mergeCell ref="A2:A3"/>
    <mergeCell ref="B2:B3"/>
    <mergeCell ref="C2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9CCE-1F4D-49A1-AEF9-EE64443C0D6C}">
  <dimension ref="A1:I11"/>
  <sheetViews>
    <sheetView workbookViewId="0">
      <selection activeCell="C16" sqref="C16"/>
    </sheetView>
  </sheetViews>
  <sheetFormatPr baseColWidth="10" defaultColWidth="10.7109375" defaultRowHeight="15" x14ac:dyDescent="0.25"/>
  <cols>
    <col min="1" max="1" width="17" bestFit="1" customWidth="1"/>
    <col min="2" max="2" width="17.42578125" customWidth="1"/>
    <col min="4" max="4" width="11.5703125" bestFit="1" customWidth="1"/>
    <col min="7" max="7" width="11.85546875" customWidth="1"/>
    <col min="8" max="8" width="13.28515625" customWidth="1"/>
    <col min="9" max="9" width="13.5703125" customWidth="1"/>
  </cols>
  <sheetData>
    <row r="1" spans="1:9" x14ac:dyDescent="0.25">
      <c r="A1" s="8" t="s">
        <v>7</v>
      </c>
      <c r="B1" s="12">
        <f>+FRANCO!H2+'LAUREANO '!I2+FABRICIO!I2+BEIZEN!I2+BRUNO!I2+'GERONIMO '!H2</f>
        <v>12559000</v>
      </c>
    </row>
    <row r="2" spans="1:9" x14ac:dyDescent="0.25">
      <c r="A2" s="9"/>
      <c r="B2" s="12"/>
    </row>
    <row r="3" spans="1:9" x14ac:dyDescent="0.25">
      <c r="A3" s="8" t="s">
        <v>10</v>
      </c>
      <c r="B3" s="12">
        <f>+FRANCO!H3+'LAUREANO '!I3+FABRICIO!I3+BEIZEN!I3+BRUNO!I3+'GERONIMO '!H3</f>
        <v>6290050</v>
      </c>
      <c r="D3" s="15"/>
      <c r="F3" s="105" t="s">
        <v>12</v>
      </c>
      <c r="G3" s="105"/>
      <c r="H3" s="105"/>
    </row>
    <row r="4" spans="1:9" x14ac:dyDescent="0.25">
      <c r="A4" s="8" t="s">
        <v>69</v>
      </c>
      <c r="B4" s="12">
        <f>+'GERONIMO '!H4</f>
        <v>772250</v>
      </c>
      <c r="F4" s="16" t="s">
        <v>15</v>
      </c>
      <c r="G4" s="16" t="s">
        <v>16</v>
      </c>
      <c r="H4" s="16" t="s">
        <v>17</v>
      </c>
    </row>
    <row r="5" spans="1:9" x14ac:dyDescent="0.25">
      <c r="A5" s="8" t="s">
        <v>93</v>
      </c>
      <c r="B5" s="12">
        <f>+BRUNO!I4</f>
        <v>818200</v>
      </c>
      <c r="F5" s="17" t="s">
        <v>6</v>
      </c>
      <c r="G5" s="18">
        <v>0.4</v>
      </c>
      <c r="H5" s="42">
        <f>+'SALDOS REALES'!$B$5*G5</f>
        <v>2746754.8000000003</v>
      </c>
    </row>
    <row r="6" spans="1:9" x14ac:dyDescent="0.25">
      <c r="A6" s="45" t="s">
        <v>28</v>
      </c>
      <c r="B6" s="46">
        <f>+'LAUREANO '!I4</f>
        <v>1352000</v>
      </c>
      <c r="F6" s="19" t="s">
        <v>13</v>
      </c>
      <c r="G6" s="20">
        <v>0.3</v>
      </c>
      <c r="H6" s="21">
        <f>+'SALDOS REALES'!$B$5*G6</f>
        <v>2060066.0999999999</v>
      </c>
    </row>
    <row r="7" spans="1:9" x14ac:dyDescent="0.25">
      <c r="A7" s="45" t="s">
        <v>32</v>
      </c>
      <c r="B7" s="56">
        <f>+BEIZEN!I4</f>
        <v>763000</v>
      </c>
      <c r="F7" s="22" t="s">
        <v>14</v>
      </c>
      <c r="G7" s="23">
        <v>0.3</v>
      </c>
      <c r="H7" s="65">
        <f>+'SALDOS REALES'!$B$5*G7</f>
        <v>2060066.0999999999</v>
      </c>
    </row>
    <row r="8" spans="1:9" x14ac:dyDescent="0.25">
      <c r="A8" s="45" t="s">
        <v>30</v>
      </c>
      <c r="B8" s="62">
        <f>+FRANCO!H4</f>
        <v>1263000</v>
      </c>
      <c r="H8" s="24" t="s">
        <v>8</v>
      </c>
      <c r="I8" s="25">
        <f>+SUM(H5:H7)</f>
        <v>6866887</v>
      </c>
    </row>
    <row r="9" spans="1:9" x14ac:dyDescent="0.25">
      <c r="A9" s="8" t="s">
        <v>36</v>
      </c>
      <c r="B9" s="26">
        <f>+FABRICIO!I4</f>
        <v>1300500</v>
      </c>
      <c r="H9" s="63"/>
    </row>
    <row r="10" spans="1:9" x14ac:dyDescent="0.25">
      <c r="I10" s="64"/>
    </row>
    <row r="11" spans="1:9" x14ac:dyDescent="0.25">
      <c r="A11" s="8" t="s">
        <v>8</v>
      </c>
      <c r="B11" s="10">
        <f>SUM(B3:B9)</f>
        <v>12559000</v>
      </c>
    </row>
  </sheetData>
  <mergeCells count="1">
    <mergeCell ref="F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C42C-D592-4439-8399-8AF6E70E721A}">
  <dimension ref="A1:E5"/>
  <sheetViews>
    <sheetView workbookViewId="0">
      <selection activeCell="B5" sqref="B5"/>
    </sheetView>
  </sheetViews>
  <sheetFormatPr baseColWidth="10" defaultColWidth="10.7109375" defaultRowHeight="15" x14ac:dyDescent="0.25"/>
  <cols>
    <col min="1" max="1" width="17" customWidth="1"/>
    <col min="2" max="2" width="19" customWidth="1"/>
  </cols>
  <sheetData>
    <row r="1" spans="1:5" x14ac:dyDescent="0.25">
      <c r="B1" s="29" t="s">
        <v>20</v>
      </c>
    </row>
    <row r="2" spans="1:5" x14ac:dyDescent="0.25">
      <c r="A2" s="30" t="s">
        <v>22</v>
      </c>
      <c r="B2" s="21">
        <v>4674330</v>
      </c>
      <c r="D2" t="s">
        <v>88</v>
      </c>
    </row>
    <row r="3" spans="1:5" x14ac:dyDescent="0.25">
      <c r="A3" s="35" t="s">
        <v>24</v>
      </c>
      <c r="B3" s="21">
        <f>+INGRESOS!B3</f>
        <v>6290050</v>
      </c>
      <c r="D3" t="s">
        <v>89</v>
      </c>
      <c r="E3">
        <v>815000</v>
      </c>
    </row>
    <row r="4" spans="1:5" x14ac:dyDescent="0.25">
      <c r="A4" s="35" t="s">
        <v>25</v>
      </c>
      <c r="B4" s="34">
        <f>-GASTOS!E3</f>
        <v>-4097493</v>
      </c>
    </row>
    <row r="5" spans="1:5" x14ac:dyDescent="0.25">
      <c r="A5" s="37" t="s">
        <v>23</v>
      </c>
      <c r="B5" s="36">
        <f>SUM(B2:B4)</f>
        <v>6866887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40D7-FFCC-4108-8DC2-DEDEB02EA20D}">
  <dimension ref="B2:D11"/>
  <sheetViews>
    <sheetView zoomScaleNormal="100" zoomScaleSheetLayoutView="100" workbookViewId="0">
      <selection activeCell="C7" sqref="C7"/>
    </sheetView>
  </sheetViews>
  <sheetFormatPr baseColWidth="10" defaultColWidth="8.85546875" defaultRowHeight="15" x14ac:dyDescent="0.25"/>
  <cols>
    <col min="2" max="2" width="19.7109375" bestFit="1" customWidth="1"/>
    <col min="3" max="3" width="9.140625" bestFit="1" customWidth="1"/>
    <col min="4" max="4" width="18.7109375" bestFit="1" customWidth="1"/>
  </cols>
  <sheetData>
    <row r="2" spans="2:4" x14ac:dyDescent="0.25">
      <c r="B2" s="67" t="s">
        <v>38</v>
      </c>
      <c r="C2" s="67" t="s">
        <v>39</v>
      </c>
      <c r="D2" s="67" t="s">
        <v>40</v>
      </c>
    </row>
    <row r="3" spans="2:4" x14ac:dyDescent="0.25">
      <c r="B3" s="2" t="s">
        <v>44</v>
      </c>
      <c r="C3" s="2">
        <v>41055939</v>
      </c>
      <c r="D3" s="31">
        <v>35910</v>
      </c>
    </row>
    <row r="4" spans="2:4" x14ac:dyDescent="0.25">
      <c r="B4" s="2" t="s">
        <v>41</v>
      </c>
      <c r="C4" s="2"/>
      <c r="D4" s="31">
        <v>36415</v>
      </c>
    </row>
    <row r="5" spans="2:4" x14ac:dyDescent="0.25">
      <c r="B5" s="2" t="s">
        <v>42</v>
      </c>
      <c r="C5" s="2">
        <v>40780435</v>
      </c>
      <c r="D5" s="31">
        <v>35768</v>
      </c>
    </row>
    <row r="6" spans="2:4" x14ac:dyDescent="0.25">
      <c r="B6" s="2" t="s">
        <v>43</v>
      </c>
      <c r="C6" s="2">
        <v>41406369</v>
      </c>
      <c r="D6" s="31">
        <v>36174</v>
      </c>
    </row>
    <row r="7" spans="2:4" x14ac:dyDescent="0.25">
      <c r="B7" s="2" t="s">
        <v>65</v>
      </c>
      <c r="C7" s="2"/>
      <c r="D7" s="2"/>
    </row>
    <row r="8" spans="2:4" x14ac:dyDescent="0.25">
      <c r="B8" s="2"/>
      <c r="C8" s="2"/>
      <c r="D8" s="2"/>
    </row>
    <row r="9" spans="2:4" x14ac:dyDescent="0.25">
      <c r="B9" s="2"/>
      <c r="C9" s="2"/>
      <c r="D9" s="2"/>
    </row>
    <row r="10" spans="2:4" x14ac:dyDescent="0.25">
      <c r="B10" s="2"/>
      <c r="C10" s="2"/>
      <c r="D10" s="2"/>
    </row>
    <row r="11" spans="2:4" x14ac:dyDescent="0.25">
      <c r="B11" s="2"/>
      <c r="C11" s="2"/>
      <c r="D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02BBFA8B7EF946A5069B325133CD48" ma:contentTypeVersion="8" ma:contentTypeDescription="Crear nuevo documento." ma:contentTypeScope="" ma:versionID="cf0708424e2f963cdf67fa0376269f88">
  <xsd:schema xmlns:xsd="http://www.w3.org/2001/XMLSchema" xmlns:xs="http://www.w3.org/2001/XMLSchema" xmlns:p="http://schemas.microsoft.com/office/2006/metadata/properties" xmlns:ns3="9364bfd5-0aa6-4c48-be1d-224816816748" xmlns:ns4="4a264832-008b-4ad6-befa-6ea1d6b0b805" targetNamespace="http://schemas.microsoft.com/office/2006/metadata/properties" ma:root="true" ma:fieldsID="449f9a0b8000d9a08d4d6c1d3641a423" ns3:_="" ns4:_="">
    <xsd:import namespace="9364bfd5-0aa6-4c48-be1d-224816816748"/>
    <xsd:import namespace="4a264832-008b-4ad6-befa-6ea1d6b0b8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4bfd5-0aa6-4c48-be1d-2248168167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4832-008b-4ad6-befa-6ea1d6b0b8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64bfd5-0aa6-4c48-be1d-224816816748" xsi:nil="true"/>
  </documentManagement>
</p:properties>
</file>

<file path=customXml/itemProps1.xml><?xml version="1.0" encoding="utf-8"?>
<ds:datastoreItem xmlns:ds="http://schemas.openxmlformats.org/officeDocument/2006/customXml" ds:itemID="{8E2CE9D8-E7F6-4DD3-8D3D-90E79C75043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364bfd5-0aa6-4c48-be1d-224816816748"/>
    <ds:schemaRef ds:uri="4a264832-008b-4ad6-befa-6ea1d6b0b80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AC7782-EC73-44F6-9A38-EA64EDB6BD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744BEA-8365-4C85-B7A9-79C6F5723169}">
  <ds:schemaRefs>
    <ds:schemaRef ds:uri="http://schemas.microsoft.com/office/2006/metadata/properties"/>
    <ds:schemaRef ds:uri="http://www.w3.org/2000/xmlns/"/>
    <ds:schemaRef ds:uri="9364bfd5-0aa6-4c48-be1d-224816816748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LAUREANO </vt:lpstr>
      <vt:lpstr>FRANCO</vt:lpstr>
      <vt:lpstr>BEIZEN</vt:lpstr>
      <vt:lpstr>FABRICIO</vt:lpstr>
      <vt:lpstr>GERONIMO </vt:lpstr>
      <vt:lpstr>BRUNO</vt:lpstr>
      <vt:lpstr>GASTOS</vt:lpstr>
      <vt:lpstr>INGRESOS</vt:lpstr>
      <vt:lpstr>SALDOS REALES</vt:lpstr>
      <vt:lpstr>Datos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Llanos</dc:creator>
  <cp:lastModifiedBy>Bruno Ballinari</cp:lastModifiedBy>
  <dcterms:created xsi:type="dcterms:W3CDTF">2022-07-26T00:17:02Z</dcterms:created>
  <dcterms:modified xsi:type="dcterms:W3CDTF">2026-05-11T02:13:36Z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0x010100A102BBFA8B7EF946A5069B325133CD48</vt:lpwstr>
  </property>
</Properties>
</file>